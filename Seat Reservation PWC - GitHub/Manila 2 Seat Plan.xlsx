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/>
  <mc:AlternateContent xmlns:mc="http://schemas.openxmlformats.org/markup-compatibility/2006">
    <mc:Choice Requires="x15">
      <x15ac:absPath xmlns:x15ac="http://schemas.microsoft.com/office/spreadsheetml/2010/11/ac" url="https://pwc-my.sharepoint.com/personal/jessa_villanueva_pwc_com/Documents/MAC_MIG/AC Manila 2/SEAT PLAN/"/>
    </mc:Choice>
  </mc:AlternateContent>
  <xr:revisionPtr revIDLastSave="0" documentId="8_{A49E2520-E00A-4128-A5D5-F92C7226C5EB}" xr6:coauthVersionLast="47" xr6:coauthVersionMax="47" xr10:uidLastSave="{00000000-0000-0000-0000-000000000000}"/>
  <bookViews>
    <workbookView xWindow="-110" yWindow="-110" windowWidth="19420" windowHeight="11500" firstSheet="1" activeTab="1" xr2:uid="{FFC9C227-11DB-41FC-ADED-005DBFB71C35}"/>
  </bookViews>
  <sheets>
    <sheet name="NEW 11F Neo Seat Plan" sheetId="3" state="hidden" r:id="rId1"/>
    <sheet name="11F Neo Seat Plan " sheetId="6" r:id="rId2"/>
    <sheet name="Sheet1" sheetId="4" r:id="rId3"/>
    <sheet name="Sheet2" sheetId="5" r:id="rId4"/>
    <sheet name="11F Neo Seat Plan (2)" sheetId="2" state="hidden" r:id="rId5"/>
  </sheets>
  <calcPr calcId="191028" iterate="1" iterateCount="1"/>
  <pivotCaches>
    <pivotCache cacheId="48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8" i="6" l="1"/>
  <c r="K67" i="6"/>
  <c r="M67" i="6"/>
  <c r="F67" i="6"/>
  <c r="N67" i="6" s="1"/>
  <c r="F63" i="6"/>
  <c r="F61" i="6"/>
  <c r="E87" i="6"/>
  <c r="E88" i="6" s="1"/>
  <c r="E89" i="6" s="1"/>
  <c r="F64" i="6"/>
  <c r="F65" i="6"/>
  <c r="K65" i="6"/>
  <c r="N65" i="6" s="1"/>
  <c r="M65" i="6"/>
  <c r="F66" i="6"/>
  <c r="F62" i="6"/>
  <c r="K60" i="6"/>
  <c r="N60" i="6"/>
  <c r="C80" i="6"/>
  <c r="M68" i="6"/>
  <c r="K68" i="6"/>
  <c r="N68" i="6"/>
  <c r="M66" i="6"/>
  <c r="K66" i="6"/>
  <c r="N66" i="6"/>
  <c r="M64" i="6"/>
  <c r="K64" i="6"/>
  <c r="N64" i="6"/>
  <c r="M63" i="6"/>
  <c r="K63" i="6"/>
  <c r="N63" i="6"/>
  <c r="M62" i="6"/>
  <c r="K62" i="6"/>
  <c r="M61" i="6"/>
  <c r="K61" i="6"/>
  <c r="M60" i="6"/>
  <c r="M57" i="6"/>
  <c r="K57" i="6"/>
  <c r="N57" i="6" s="1" a="1"/>
  <c r="N57" i="6" s="1"/>
  <c r="K56" i="6"/>
  <c r="G56" i="6"/>
  <c r="F75" i="3"/>
  <c r="C81" i="3"/>
  <c r="Y49" i="2"/>
  <c r="F76" i="3"/>
  <c r="M65" i="3"/>
  <c r="M63" i="3"/>
  <c r="M62" i="3"/>
  <c r="G56" i="3"/>
  <c r="M67" i="3"/>
  <c r="K67" i="3"/>
  <c r="K68" i="3"/>
  <c r="M68" i="3"/>
  <c r="N68" i="3"/>
  <c r="K69" i="3"/>
  <c r="N69" i="3" s="1"/>
  <c r="K64" i="3"/>
  <c r="N64" i="3" s="1"/>
  <c r="K63" i="3"/>
  <c r="K62" i="3"/>
  <c r="N62" i="3" s="1"/>
  <c r="F78" i="3"/>
  <c r="M57" i="3"/>
  <c r="K57" i="3"/>
  <c r="M61" i="3"/>
  <c r="AR62" i="2"/>
  <c r="BN55" i="2"/>
  <c r="AR59" i="2"/>
  <c r="AR57" i="2"/>
  <c r="CH12" i="3"/>
  <c r="W68" i="2"/>
  <c r="K66" i="3"/>
  <c r="N66" i="3" s="1"/>
  <c r="M66" i="3"/>
  <c r="M69" i="3"/>
  <c r="N63" i="3"/>
  <c r="K65" i="3"/>
  <c r="N65" i="3" s="1"/>
  <c r="K61" i="3"/>
  <c r="M64" i="3"/>
  <c r="F49" i="2"/>
  <c r="F63" i="2"/>
  <c r="F64" i="2"/>
  <c r="T59" i="2"/>
  <c r="R57" i="2"/>
  <c r="P64" i="2"/>
  <c r="V49" i="2" s="1"/>
  <c r="F67" i="2"/>
  <c r="F69" i="2"/>
  <c r="F66" i="2"/>
  <c r="M57" i="2"/>
  <c r="N57" i="2" s="1"/>
  <c r="M59" i="2"/>
  <c r="M54" i="2"/>
  <c r="N54" i="2" s="1"/>
  <c r="M55" i="2"/>
  <c r="N55" i="2" s="1"/>
  <c r="M56" i="2"/>
  <c r="N56" i="2" s="1"/>
  <c r="N59" i="2"/>
  <c r="F75" i="6" l="1"/>
  <c r="F77" i="6" s="1"/>
  <c r="F74" i="6"/>
  <c r="F71" i="6"/>
  <c r="F72" i="6" s="1"/>
  <c r="E84" i="6"/>
  <c r="N62" i="6"/>
  <c r="N61" i="6"/>
  <c r="N67" i="3"/>
  <c r="F72" i="3"/>
  <c r="F73" i="3" s="1"/>
  <c r="N57" i="3"/>
  <c r="K56" i="3"/>
  <c r="N6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tc={45C78E8B-A02C-426A-AC6A-EF940DF6895F}</author>
  </authors>
  <commentList>
    <comment ref="C51" authorId="0" shapeId="0" xr:uid="{45C78E8B-A02C-426A-AC6A-EF940DF6895F}">
      <text>
        <t>[Threaded comment]
Your version of Excel allows you to read this threaded comment; however, any edits to it will get removed if the file is opened in a newer version of Excel. Learn more: https://go.microsoft.com/fwlink/?linkid=870924
Comment:
    @Carmelita Cruz (AC Manila)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<sst xmlns="http://schemas.openxmlformats.org/spreadsheetml/2006/main" count="1524" uniqueCount="735">
  <si>
    <t>FOR REVISION</t>
  </si>
  <si>
    <r>
      <t xml:space="preserve">Boardroom  (21)
</t>
    </r>
    <r>
      <rPr>
        <sz val="11"/>
        <color rgb="FFFF0000"/>
        <rFont val="Aptos Display"/>
        <scheme val="major"/>
      </rPr>
      <t>11063</t>
    </r>
  </si>
  <si>
    <r>
      <t xml:space="preserve">Open Collaboration 2
</t>
    </r>
    <r>
      <rPr>
        <sz val="11"/>
        <color rgb="FFFF0000"/>
        <rFont val="Aptos Display"/>
        <scheme val="major"/>
      </rPr>
      <t>11061</t>
    </r>
  </si>
  <si>
    <r>
      <t xml:space="preserve">Team Room 2 (9+)
</t>
    </r>
    <r>
      <rPr>
        <sz val="11"/>
        <color rgb="FFFF0000"/>
        <rFont val="Aptos Display"/>
        <scheme val="major"/>
      </rPr>
      <t>11062</t>
    </r>
  </si>
  <si>
    <r>
      <t xml:space="preserve">Training Room A (28)
</t>
    </r>
    <r>
      <rPr>
        <sz val="11"/>
        <color rgb="FFFF0000"/>
        <rFont val="Aptos Display"/>
        <scheme val="major"/>
      </rPr>
      <t>11064</t>
    </r>
  </si>
  <si>
    <r>
      <t xml:space="preserve">Open Collaboration 1 
</t>
    </r>
    <r>
      <rPr>
        <sz val="11"/>
        <color rgb="FFFF0000"/>
        <rFont val="Aptos Display"/>
        <scheme val="major"/>
      </rPr>
      <t>11001</t>
    </r>
  </si>
  <si>
    <t>Project Room 1 (22)</t>
  </si>
  <si>
    <t>Project Room 2 (22)</t>
  </si>
  <si>
    <t>Project Room 3 (23)</t>
  </si>
  <si>
    <r>
      <t xml:space="preserve">Team Room 3 (20+)
</t>
    </r>
    <r>
      <rPr>
        <sz val="11"/>
        <color rgb="FFFF0000"/>
        <rFont val="Aptos Display"/>
        <scheme val="major"/>
      </rPr>
      <t>11060</t>
    </r>
  </si>
  <si>
    <r>
      <rPr>
        <sz val="11"/>
        <color rgb="FF000000"/>
        <rFont val="Aptos Display"/>
        <scheme val="major"/>
      </rPr>
      <t xml:space="preserve">Training Room B (30)
</t>
    </r>
    <r>
      <rPr>
        <sz val="11"/>
        <color rgb="FFFF0000"/>
        <rFont val="Aptos Display"/>
        <scheme val="major"/>
      </rPr>
      <t>11065</t>
    </r>
  </si>
  <si>
    <r>
      <t xml:space="preserve">Reception
</t>
    </r>
    <r>
      <rPr>
        <sz val="11"/>
        <color rgb="FFFF0000"/>
        <rFont val="Aptos Display"/>
        <scheme val="major"/>
      </rPr>
      <t>11000</t>
    </r>
  </si>
  <si>
    <r>
      <t xml:space="preserve">Clinic (4)
</t>
    </r>
    <r>
      <rPr>
        <sz val="11"/>
        <color rgb="FFFF0000"/>
        <rFont val="Aptos Display"/>
        <scheme val="major"/>
      </rPr>
      <t>11003</t>
    </r>
  </si>
  <si>
    <r>
      <t xml:space="preserve">Mothers Room (3)
</t>
    </r>
    <r>
      <rPr>
        <sz val="10"/>
        <color rgb="FFFF0000"/>
        <rFont val="Aptos Display"/>
        <scheme val="major"/>
      </rPr>
      <t>11004</t>
    </r>
  </si>
  <si>
    <r>
      <t xml:space="preserve">IT Storage
</t>
    </r>
    <r>
      <rPr>
        <sz val="11"/>
        <color rgb="FFFF0000"/>
        <rFont val="Aptos Display"/>
        <scheme val="major"/>
      </rPr>
      <t>11005</t>
    </r>
  </si>
  <si>
    <r>
      <t xml:space="preserve">MDF Room
</t>
    </r>
    <r>
      <rPr>
        <sz val="11"/>
        <color rgb="FFFF0000"/>
        <rFont val="Aptos Display"/>
        <scheme val="major"/>
      </rPr>
      <t>11007</t>
    </r>
  </si>
  <si>
    <r>
      <t xml:space="preserve">EE Room
</t>
    </r>
    <r>
      <rPr>
        <sz val="11"/>
        <color rgb="FFFF0000"/>
        <rFont val="Aptos Display"/>
        <scheme val="major"/>
      </rPr>
      <t>11008</t>
    </r>
  </si>
  <si>
    <r>
      <t xml:space="preserve">Amphitheater
</t>
    </r>
    <r>
      <rPr>
        <sz val="11"/>
        <color rgb="FFFF0000"/>
        <rFont val="Aptos Display"/>
        <scheme val="major"/>
      </rPr>
      <t>11010</t>
    </r>
  </si>
  <si>
    <r>
      <t xml:space="preserve">Enclosed WS 1 (Nilesh)
</t>
    </r>
    <r>
      <rPr>
        <sz val="11"/>
        <color rgb="FFFF0000"/>
        <rFont val="Aptos Display"/>
        <scheme val="major"/>
      </rPr>
      <t>11055</t>
    </r>
  </si>
  <si>
    <t>Phonebooth 1</t>
  </si>
  <si>
    <t>Comfort Room Female</t>
  </si>
  <si>
    <t>Fire Exit</t>
  </si>
  <si>
    <t>Elevator Shaft</t>
  </si>
  <si>
    <t>Elevator shaft</t>
  </si>
  <si>
    <t>Facilities Storage</t>
  </si>
  <si>
    <t>Pipe Chase</t>
  </si>
  <si>
    <t>Female Comfort Room</t>
  </si>
  <si>
    <r>
      <t xml:space="preserve">Multiu Function Hall
</t>
    </r>
    <r>
      <rPr>
        <sz val="11"/>
        <color rgb="FFFF0000"/>
        <rFont val="Aptos Display"/>
        <scheme val="major"/>
      </rPr>
      <t>11011</t>
    </r>
  </si>
  <si>
    <r>
      <t xml:space="preserve">Team Rm 4 (8+)
</t>
    </r>
    <r>
      <rPr>
        <sz val="11"/>
        <color rgb="FFFF0000"/>
        <rFont val="Aptos Display"/>
        <scheme val="major"/>
      </rPr>
      <t>11058</t>
    </r>
  </si>
  <si>
    <t>Woskstation 3 (18)</t>
  </si>
  <si>
    <r>
      <t xml:space="preserve">Team Room 1 (8+)
</t>
    </r>
    <r>
      <rPr>
        <sz val="11"/>
        <color rgb="FFFF0000"/>
        <rFont val="Aptos Display"/>
        <scheme val="major"/>
      </rPr>
      <t>11054</t>
    </r>
  </si>
  <si>
    <t>Male Comfort Room</t>
  </si>
  <si>
    <t>Phonebooth 2</t>
  </si>
  <si>
    <t>Comfort Room Male</t>
  </si>
  <si>
    <r>
      <t xml:space="preserve">Conference Room 3 (11)
</t>
    </r>
    <r>
      <rPr>
        <sz val="11"/>
        <color rgb="FFFF0000"/>
        <rFont val="Aptos Display"/>
        <scheme val="major"/>
      </rPr>
      <t>11057</t>
    </r>
  </si>
  <si>
    <t>Pantry</t>
  </si>
  <si>
    <r>
      <rPr>
        <sz val="11"/>
        <color rgb="FF000000"/>
        <rFont val="Aptos Display"/>
        <scheme val="major"/>
      </rPr>
      <t xml:space="preserve">Conference Room 1 (7)
</t>
    </r>
    <r>
      <rPr>
        <sz val="11"/>
        <color rgb="FFFF0000"/>
        <rFont val="Aptos Display"/>
        <scheme val="major"/>
      </rPr>
      <t>11013</t>
    </r>
  </si>
  <si>
    <r>
      <rPr>
        <sz val="11"/>
        <color rgb="FF000000"/>
        <rFont val="Aptos Display"/>
        <scheme val="major"/>
      </rPr>
      <t xml:space="preserve">Conference Room 2 (4)
</t>
    </r>
    <r>
      <rPr>
        <sz val="11"/>
        <color rgb="FFFF0000"/>
        <rFont val="Aptos Display"/>
        <scheme val="major"/>
      </rPr>
      <t>11013</t>
    </r>
  </si>
  <si>
    <r>
      <t xml:space="preserve">Enclosed WS 2 (DMB)
</t>
    </r>
    <r>
      <rPr>
        <sz val="11"/>
        <color rgb="FFFF0000"/>
        <rFont val="Aptos Display"/>
        <scheme val="major"/>
      </rPr>
      <t>11051</t>
    </r>
  </si>
  <si>
    <t>Service Elevator</t>
  </si>
  <si>
    <t>EE Room</t>
  </si>
  <si>
    <t>Phonebooth  11068</t>
  </si>
  <si>
    <t>Workstation 1 (88)</t>
  </si>
  <si>
    <t>Enclosed Workspace 4
(Sheila)</t>
  </si>
  <si>
    <t xml:space="preserve">Enclosed Workspace 6
</t>
  </si>
  <si>
    <t>Workstation 2 (33)</t>
  </si>
  <si>
    <t xml:space="preserve">Enclosed Workspace 3 
</t>
  </si>
  <si>
    <t>Enclosed Workspace 5</t>
  </si>
  <si>
    <t>Flexible Project Room (50)</t>
  </si>
  <si>
    <t>Team Table (64)</t>
  </si>
  <si>
    <r>
      <t xml:space="preserve">Collab Area
</t>
    </r>
    <r>
      <rPr>
        <sz val="11"/>
        <color rgb="FFFF0000"/>
        <rFont val="Aptos Display"/>
        <scheme val="major"/>
      </rPr>
      <t>11048</t>
    </r>
  </si>
  <si>
    <t>Workbar 6 (6)</t>
  </si>
  <si>
    <t>Workbar 5 (8)</t>
  </si>
  <si>
    <t>Workbar 4 (8)</t>
  </si>
  <si>
    <t>Workbar 3 (8)</t>
  </si>
  <si>
    <t>Workbar 2 (8)</t>
  </si>
  <si>
    <t xml:space="preserve">can be used by other practices </t>
  </si>
  <si>
    <t>Workbar 1 (8)</t>
  </si>
  <si>
    <t>LEGEND:</t>
  </si>
  <si>
    <t>Oracle</t>
  </si>
  <si>
    <t>Guidewire</t>
  </si>
  <si>
    <t>SAP and CEDA AU</t>
  </si>
  <si>
    <t xml:space="preserve">CEDA US </t>
  </si>
  <si>
    <t>Salesforce</t>
  </si>
  <si>
    <t>MS</t>
  </si>
  <si>
    <t xml:space="preserve">CDTR - Cyber MS </t>
  </si>
  <si>
    <t xml:space="preserve">R&amp;R / ERCS </t>
  </si>
  <si>
    <t>Business Support Services</t>
  </si>
  <si>
    <t>Support Services</t>
  </si>
  <si>
    <t>Workstation (Prod area)</t>
  </si>
  <si>
    <t>Current Headcount
(14 July 2026)</t>
  </si>
  <si>
    <t>Total HC per Cluster</t>
  </si>
  <si>
    <t>Available seats</t>
  </si>
  <si>
    <t>Total Seats including Proj 1,2,3 &amp; Flexi</t>
  </si>
  <si>
    <t>CDTR Project room 1</t>
  </si>
  <si>
    <t xml:space="preserve">CDTR Project room 2 </t>
  </si>
  <si>
    <t>Project room 3</t>
  </si>
  <si>
    <t>DCM</t>
  </si>
  <si>
    <t>SAP</t>
  </si>
  <si>
    <t>BOMS</t>
  </si>
  <si>
    <t>R&amp;R and ERCS</t>
  </si>
  <si>
    <t xml:space="preserve">can be used by other practices if no shared services will be at BGC </t>
  </si>
  <si>
    <t>Assigned</t>
  </si>
  <si>
    <t>Vacant</t>
  </si>
  <si>
    <t>z</t>
  </si>
  <si>
    <t xml:space="preserve">Workstation </t>
  </si>
  <si>
    <t xml:space="preserve">Workstation with monitor </t>
  </si>
  <si>
    <t>Prod + Project Rooms</t>
  </si>
  <si>
    <t>AES</t>
  </si>
  <si>
    <t>HRMS</t>
  </si>
  <si>
    <t xml:space="preserve">CDTR </t>
  </si>
  <si>
    <r>
      <rPr>
        <sz val="11"/>
        <color rgb="FF000000"/>
        <rFont val="Aptos Display"/>
        <scheme val="major"/>
      </rPr>
      <t xml:space="preserve">Collab Area
</t>
    </r>
    <r>
      <rPr>
        <sz val="11"/>
        <color rgb="FFFF0000"/>
        <rFont val="Aptos Display"/>
        <scheme val="major"/>
      </rPr>
      <t>11048 (can be used by other practices)</t>
    </r>
  </si>
  <si>
    <t>Guidewire/BSCO</t>
  </si>
  <si>
    <t xml:space="preserve">R&amp;R /ERCS </t>
  </si>
  <si>
    <t>Risk and Quality</t>
  </si>
  <si>
    <t>Shared Services</t>
  </si>
  <si>
    <t>Project room 1</t>
  </si>
  <si>
    <t xml:space="preserve">Project room 2 </t>
  </si>
  <si>
    <t xml:space="preserve">Flexible Project Room </t>
  </si>
  <si>
    <t xml:space="preserve">2 with Glyh </t>
  </si>
  <si>
    <t xml:space="preserve">76 (Noreen and Tom) </t>
  </si>
  <si>
    <t xml:space="preserve">WFH </t>
  </si>
  <si>
    <t>Platform</t>
  </si>
  <si>
    <t>Practice Team</t>
  </si>
  <si>
    <t>CSX</t>
  </si>
  <si>
    <t>CSX Managed Services</t>
  </si>
  <si>
    <t>SAP AES (MS)</t>
  </si>
  <si>
    <t>BSCO</t>
  </si>
  <si>
    <t>RCMS</t>
  </si>
  <si>
    <t>CDTR</t>
  </si>
  <si>
    <t>Cyber MS</t>
  </si>
  <si>
    <t>R&amp;R</t>
  </si>
  <si>
    <t>ERCS</t>
  </si>
  <si>
    <t>CEDA</t>
  </si>
  <si>
    <t>TMS, App Mod &amp; Dev, Dig Eng &amp; Analytics</t>
  </si>
  <si>
    <t>Oracle AES (MS)</t>
  </si>
  <si>
    <t>FMS</t>
  </si>
  <si>
    <t xml:space="preserve">Name </t>
  </si>
  <si>
    <t>Sub-Cluster</t>
  </si>
  <si>
    <t>Amabelle Batu</t>
  </si>
  <si>
    <t>Clifford Espinosa</t>
  </si>
  <si>
    <t>App Mod &amp; Dev</t>
  </si>
  <si>
    <t>Krystel Ortiguero</t>
  </si>
  <si>
    <t xml:space="preserve">Count of Name </t>
  </si>
  <si>
    <t>Jaypee Abad</t>
  </si>
  <si>
    <t>CDTR - MS</t>
  </si>
  <si>
    <t>Rhon Sardiñola</t>
  </si>
  <si>
    <t>BSCO - PCOT Guidewire</t>
  </si>
  <si>
    <t>Athan Isidoro</t>
  </si>
  <si>
    <t>BSCO - RCMS</t>
  </si>
  <si>
    <t>Lloyd Burgos</t>
  </si>
  <si>
    <t>Business Services</t>
  </si>
  <si>
    <t>Alvin John Margallo</t>
  </si>
  <si>
    <t>Miguel Lorenzo Calo</t>
  </si>
  <si>
    <t>Arianne Domingo</t>
  </si>
  <si>
    <t>CEDA - AppMod</t>
  </si>
  <si>
    <t>Andro Ray San Juan</t>
  </si>
  <si>
    <t>CEDA - DE&amp;A</t>
  </si>
  <si>
    <t>Ma. Sheila Victorina Cayetano</t>
  </si>
  <si>
    <t>Management</t>
  </si>
  <si>
    <t>CEDA - TMS</t>
  </si>
  <si>
    <t>Aaron Leus Baquiano</t>
  </si>
  <si>
    <t>CEDA MS</t>
  </si>
  <si>
    <t>Ira King Libores</t>
  </si>
  <si>
    <t>Cloud &amp; Infra Ops</t>
  </si>
  <si>
    <t>Toby Tobias</t>
  </si>
  <si>
    <t>CSX - AES Salesforce</t>
  </si>
  <si>
    <t>Alaiza Zyrelle Aala</t>
  </si>
  <si>
    <t>CSX - Salesforce Core</t>
  </si>
  <si>
    <t>Kriza Joy Calingasan</t>
  </si>
  <si>
    <t>CSX MS - NZ</t>
  </si>
  <si>
    <t>Christian Edradan</t>
  </si>
  <si>
    <t>DCM - AES Oracle</t>
  </si>
  <si>
    <t>Angielika Jane Inso</t>
  </si>
  <si>
    <t>DCM - AES SAP</t>
  </si>
  <si>
    <t>Kevin Nuesca</t>
  </si>
  <si>
    <t>DCM - Core Oracle</t>
  </si>
  <si>
    <t>Ryan Christian Simbulan</t>
  </si>
  <si>
    <t>DCM - Core SAP</t>
  </si>
  <si>
    <t>Vergeth De Guzman</t>
  </si>
  <si>
    <t>DCM - FMS</t>
  </si>
  <si>
    <t>Jonathan Italia</t>
  </si>
  <si>
    <t>Digital Engineering &amp; Analytics</t>
  </si>
  <si>
    <t>Leo Angelo Laude</t>
  </si>
  <si>
    <t>Joeban Manguerra</t>
  </si>
  <si>
    <t>John Nicholas Moreno</t>
  </si>
  <si>
    <t>Harold Rugay</t>
  </si>
  <si>
    <t>Norshelle Bautista</t>
  </si>
  <si>
    <t>John Joseph Enriquez</t>
  </si>
  <si>
    <t>MS - Oracle</t>
  </si>
  <si>
    <t>Tiffany Aethyl Gujol</t>
  </si>
  <si>
    <t>MS - SAP</t>
  </si>
  <si>
    <t>Jennedie Rojo</t>
  </si>
  <si>
    <t>National - Risk</t>
  </si>
  <si>
    <t>Noreen Orillaza</t>
  </si>
  <si>
    <t>Don Patrick Pepito</t>
  </si>
  <si>
    <t>R&amp;R - ERCS</t>
  </si>
  <si>
    <t>Ma. Angela Khristine Jornales</t>
  </si>
  <si>
    <t>Juan Carlo Culibra</t>
  </si>
  <si>
    <t>Catherine Cueto</t>
  </si>
  <si>
    <t>(blank)</t>
  </si>
  <si>
    <t>Mark Tandang</t>
  </si>
  <si>
    <t>Grand Total</t>
  </si>
  <si>
    <t>Pedro Eddie Reyes</t>
  </si>
  <si>
    <t>Prince Jay Em Esteves</t>
  </si>
  <si>
    <t>Jean Loren Tagala</t>
  </si>
  <si>
    <t>Ruby Docot</t>
  </si>
  <si>
    <t>Brylle Mutia</t>
  </si>
  <si>
    <t>Nelmar Valdez</t>
  </si>
  <si>
    <t>Kristyl Angela Labiano</t>
  </si>
  <si>
    <t>Roan Jane Francisco</t>
  </si>
  <si>
    <t>Apple Caron</t>
  </si>
  <si>
    <t>Rizza Berba</t>
  </si>
  <si>
    <t>Lady Airel Pacanza</t>
  </si>
  <si>
    <t>Roneth Austria</t>
  </si>
  <si>
    <t>Sheena Bañares</t>
  </si>
  <si>
    <t>Dianne Natividad</t>
  </si>
  <si>
    <t>John Reinier Ambon</t>
  </si>
  <si>
    <t>Elaiza Armero</t>
  </si>
  <si>
    <t>Camille Joy Esteban</t>
  </si>
  <si>
    <t>Krizia Ysabel Carluen</t>
  </si>
  <si>
    <t>Shania Regine Calipay</t>
  </si>
  <si>
    <t>Martin Ojeda</t>
  </si>
  <si>
    <t>Rujen Calvin Malimban</t>
  </si>
  <si>
    <t>April Joy Sulapas</t>
  </si>
  <si>
    <t>Louise Jake Tria</t>
  </si>
  <si>
    <t>Maria Theresa Viscayda</t>
  </si>
  <si>
    <t>Baby Grace Martin</t>
  </si>
  <si>
    <t>Vanessa Chua</t>
  </si>
  <si>
    <t>Gerard Mamonong</t>
  </si>
  <si>
    <t>Mary Rose Jimenez</t>
  </si>
  <si>
    <t>Rhona Villanueva</t>
  </si>
  <si>
    <t>Carl Villanueva</t>
  </si>
  <si>
    <t>Alecxz Celis</t>
  </si>
  <si>
    <t>Jamin Aguilar</t>
  </si>
  <si>
    <t>Rochelle Opulencia</t>
  </si>
  <si>
    <t>Mica Uriarte</t>
  </si>
  <si>
    <t>Juffy Byron Vega</t>
  </si>
  <si>
    <t>Junnel Palaña</t>
  </si>
  <si>
    <t>Nathaniel Paolo Vargas</t>
  </si>
  <si>
    <t>Darien Soria</t>
  </si>
  <si>
    <t>Maxim Vincent Arradaza</t>
  </si>
  <si>
    <t>Arthur Pascaran Jr.</t>
  </si>
  <si>
    <t>Neil Jonathan Trinidad</t>
  </si>
  <si>
    <t>Sam Escala</t>
  </si>
  <si>
    <t>Erwin Purpora</t>
  </si>
  <si>
    <t>JAYVEE GERONIMO</t>
  </si>
  <si>
    <t>Vincent Carlo Santos</t>
  </si>
  <si>
    <t>Joemer Trinidad</t>
  </si>
  <si>
    <t>Niño Ray Guinto</t>
  </si>
  <si>
    <t>Amos Saputalo</t>
  </si>
  <si>
    <t>Rey Mark Bautista</t>
  </si>
  <si>
    <t>Jin Silvano</t>
  </si>
  <si>
    <t>Jehad Cemanes</t>
  </si>
  <si>
    <t>Mark Joseph Bartolome</t>
  </si>
  <si>
    <t>Ryo Delos Reyes</t>
  </si>
  <si>
    <t>April Mae Hombrebueno</t>
  </si>
  <si>
    <t>Luis Fernand Mallari</t>
  </si>
  <si>
    <t>Fatima Claire Reyes</t>
  </si>
  <si>
    <t>Hazel Ribbons De Vera</t>
  </si>
  <si>
    <t>Christian Benneth Soliven</t>
  </si>
  <si>
    <t>Czarina Louise Morales</t>
  </si>
  <si>
    <t>Martin Briones</t>
  </si>
  <si>
    <t>Jack Kenneth Cutiongco</t>
  </si>
  <si>
    <t>Ryan Lopez</t>
  </si>
  <si>
    <t>Jas Kristian Magno</t>
  </si>
  <si>
    <t>Andrian Glenn Agnas</t>
  </si>
  <si>
    <t>Tricia May Pastolero</t>
  </si>
  <si>
    <t>Joi Tobias</t>
  </si>
  <si>
    <t>Dandy Collera</t>
  </si>
  <si>
    <t>Wilfredo Coronel</t>
  </si>
  <si>
    <t>Jerjou Ivan Castañares</t>
  </si>
  <si>
    <t>Jay Lord Mangila</t>
  </si>
  <si>
    <t>Anton Riego Silva</t>
  </si>
  <si>
    <t>Joel Langoyan</t>
  </si>
  <si>
    <t>Joyce Ann Mundo</t>
  </si>
  <si>
    <t>Almira Pusing</t>
  </si>
  <si>
    <t>Czion Alinday</t>
  </si>
  <si>
    <t>Gabriel Dela Cruz</t>
  </si>
  <si>
    <t>Kim Nelson Memoranda</t>
  </si>
  <si>
    <t>Tupe Dacuba</t>
  </si>
  <si>
    <t>Winhowell Cylde Ibarra</t>
  </si>
  <si>
    <t>Darwin James Marcelo</t>
  </si>
  <si>
    <t>Mark Hanniel Vargas</t>
  </si>
  <si>
    <t>Jikho Enrique</t>
  </si>
  <si>
    <t>Christian Haber</t>
  </si>
  <si>
    <t>Jezrah Bollecer</t>
  </si>
  <si>
    <t>Iya Erum</t>
  </si>
  <si>
    <t>Karl Maximilian Hizo</t>
  </si>
  <si>
    <t>Niyoh Edwyn Villanueva</t>
  </si>
  <si>
    <t>Brylle Wesley Tolentino</t>
  </si>
  <si>
    <t>Joshua Patrick Angeles</t>
  </si>
  <si>
    <t>Patricia Anne Velasquez</t>
  </si>
  <si>
    <t>Danielle Joy Adlawan</t>
  </si>
  <si>
    <t>Jeremiah Dollente</t>
  </si>
  <si>
    <t>Lyn Jame Ompad</t>
  </si>
  <si>
    <t>Sunray Vincent Gilbero</t>
  </si>
  <si>
    <t>Frances Joyce Salen</t>
  </si>
  <si>
    <t>Yan Reyes</t>
  </si>
  <si>
    <t>Joshua Gonzales</t>
  </si>
  <si>
    <t>Rose Arielli Remigio</t>
  </si>
  <si>
    <t>Patrick Bernard Santos</t>
  </si>
  <si>
    <t>Migz Fernandez</t>
  </si>
  <si>
    <t>Nico Rivera</t>
  </si>
  <si>
    <t>Kyla Cuaresma</t>
  </si>
  <si>
    <t>Jethro Rayray</t>
  </si>
  <si>
    <t>Aleah Kathrine Cruz</t>
  </si>
  <si>
    <t>Newella Iloma</t>
  </si>
  <si>
    <t>Jose Antonio Ordanell</t>
  </si>
  <si>
    <t>Melanie Mabida</t>
  </si>
  <si>
    <t>Robert Valentin Sy</t>
  </si>
  <si>
    <t>Shiela Mae Alon-Alon</t>
  </si>
  <si>
    <t>Ren Michael Boniao</t>
  </si>
  <si>
    <t>Regine Petallo</t>
  </si>
  <si>
    <t xml:space="preserve">Robilyn Gabor  </t>
  </si>
  <si>
    <t>Carlo Gutierrez</t>
  </si>
  <si>
    <t>Jan Reimil Cabantog</t>
  </si>
  <si>
    <t>Vic Polintang</t>
  </si>
  <si>
    <t>Shalemar Marie Bagasina</t>
  </si>
  <si>
    <t>Danica Coballes</t>
  </si>
  <si>
    <t>Grace Evangelista</t>
  </si>
  <si>
    <t>Nhoren Arellano</t>
  </si>
  <si>
    <t>Liezel Cruz</t>
  </si>
  <si>
    <t>Jocelle Espinosa</t>
  </si>
  <si>
    <t>Mel An Nicole Geronimo</t>
  </si>
  <si>
    <t>Joman Sacasas</t>
  </si>
  <si>
    <t>Raymond Del Rosario</t>
  </si>
  <si>
    <t>Selwyn Gerard Suan</t>
  </si>
  <si>
    <t>Catherine Joyce Figueroa</t>
  </si>
  <si>
    <t>Bea Damasco</t>
  </si>
  <si>
    <t>Nikka Guevarra</t>
  </si>
  <si>
    <t>Sebastian Pangan</t>
  </si>
  <si>
    <t>Nikki Shayne Laurente</t>
  </si>
  <si>
    <t>Kimverly Asidao</t>
  </si>
  <si>
    <t>Eunice Almira Pineda</t>
  </si>
  <si>
    <t>Day Urmeneta</t>
  </si>
  <si>
    <t>Didith Deciar</t>
  </si>
  <si>
    <t>Calie Gamboa</t>
  </si>
  <si>
    <t>John Michael Lugtu</t>
  </si>
  <si>
    <t>Maricor Doligol</t>
  </si>
  <si>
    <t>Jahzeel Anne Cayabyab</t>
  </si>
  <si>
    <t>Jessica Pache</t>
  </si>
  <si>
    <t>Jane Rocelle Ronquillo</t>
  </si>
  <si>
    <t>Jouie Marie Claire Lopez</t>
  </si>
  <si>
    <t>Camille Villanueva</t>
  </si>
  <si>
    <t>DAISY PRINCIPE</t>
  </si>
  <si>
    <t>Almira Tadem</t>
  </si>
  <si>
    <t>Gerard Ephraim Marquez</t>
  </si>
  <si>
    <t>April Rose Garay</t>
  </si>
  <si>
    <t>Erika Aprille Cristobal</t>
  </si>
  <si>
    <t>Marian Jasper Garcia</t>
  </si>
  <si>
    <t>Suzette Dela Cruz</t>
  </si>
  <si>
    <t>Joelyn Perez</t>
  </si>
  <si>
    <t>Marycar Villanueva</t>
  </si>
  <si>
    <t>Maechelei Subiera</t>
  </si>
  <si>
    <t>Glaizel Mae Moico</t>
  </si>
  <si>
    <t>Rogie Mosende</t>
  </si>
  <si>
    <t>Lyn Lipio</t>
  </si>
  <si>
    <t>Hedrick Nicole Amaquin</t>
  </si>
  <si>
    <t>Kathleen Pangilinan</t>
  </si>
  <si>
    <t>Emma Lumbo</t>
  </si>
  <si>
    <t>Kevin John Caluya</t>
  </si>
  <si>
    <t>Marby Crisostomo</t>
  </si>
  <si>
    <t>Ma. Delyn Coronel</t>
  </si>
  <si>
    <t>Maria Elena Rogel</t>
  </si>
  <si>
    <t>Najah Cezylia Nicolas</t>
  </si>
  <si>
    <t>Hideyuki Centeno</t>
  </si>
  <si>
    <t>Trixie Mae Atendido</t>
  </si>
  <si>
    <t>Champagne Sabornido</t>
  </si>
  <si>
    <t>Joanna Pactol</t>
  </si>
  <si>
    <t>Eigel Asinas</t>
  </si>
  <si>
    <t>Mae Antoniette Caparas</t>
  </si>
  <si>
    <t>Nate Noveno</t>
  </si>
  <si>
    <t>Jeoffrey Tan</t>
  </si>
  <si>
    <t>Lorraine Fajutagana</t>
  </si>
  <si>
    <t>Jason Yusi</t>
  </si>
  <si>
    <t>Ian Roxas</t>
  </si>
  <si>
    <t>Jaymar Espiritu</t>
  </si>
  <si>
    <t>Davidson De Ocampo</t>
  </si>
  <si>
    <t>Ryan Catambing</t>
  </si>
  <si>
    <t>Ronelle Tuazon</t>
  </si>
  <si>
    <t>Tin Reynoso</t>
  </si>
  <si>
    <t>Noah Abada</t>
  </si>
  <si>
    <t>Jasper Reyes</t>
  </si>
  <si>
    <t>Hannah Iris Dela Cerna</t>
  </si>
  <si>
    <t>Troby Dela Cruz</t>
  </si>
  <si>
    <t>Zcorena Zcheanelle Lim</t>
  </si>
  <si>
    <t>Jennifer Leonardo</t>
  </si>
  <si>
    <t>Jackie Ong</t>
  </si>
  <si>
    <t>Christian Herrera</t>
  </si>
  <si>
    <t>Sean Uy</t>
  </si>
  <si>
    <t>Peps Pepino</t>
  </si>
  <si>
    <t>Joshua Manrique</t>
  </si>
  <si>
    <t>Mark Lester Adami</t>
  </si>
  <si>
    <t>Kenneth Quiape</t>
  </si>
  <si>
    <t>Jemm Verano</t>
  </si>
  <si>
    <t>Joaquin Trinidad</t>
  </si>
  <si>
    <t>Edna Marie Nasis</t>
  </si>
  <si>
    <t>Riel Mendoza</t>
  </si>
  <si>
    <t>Wesley Basister</t>
  </si>
  <si>
    <t>Ace Sales</t>
  </si>
  <si>
    <t>Niks Obmasca</t>
  </si>
  <si>
    <t>Ravie Baldueza</t>
  </si>
  <si>
    <t>JC Espino</t>
  </si>
  <si>
    <t>Arjay Aquino</t>
  </si>
  <si>
    <t>Dennis David Senal</t>
  </si>
  <si>
    <t>Ken Dela Cruz</t>
  </si>
  <si>
    <t>Martin Sinuto</t>
  </si>
  <si>
    <t>Evander Villanueva</t>
  </si>
  <si>
    <t>Japheth Espia</t>
  </si>
  <si>
    <t>Sidney Bellaflor</t>
  </si>
  <si>
    <t>Romelyn Quiñonez</t>
  </si>
  <si>
    <t>Kathleen Faye Gura</t>
  </si>
  <si>
    <t>MJ Nagales</t>
  </si>
  <si>
    <t>Gerald Feudo</t>
  </si>
  <si>
    <t>LJ Egamino</t>
  </si>
  <si>
    <t>Glory Delas Llagas</t>
  </si>
  <si>
    <t>Jomari Flores</t>
  </si>
  <si>
    <t>Sheryl Decano</t>
  </si>
  <si>
    <t>Thomas Gerald Ng</t>
  </si>
  <si>
    <t>Joevert Balinbin</t>
  </si>
  <si>
    <t>Nan Gim</t>
  </si>
  <si>
    <t>Francis Miguel Iguico</t>
  </si>
  <si>
    <t>Eusev Miguel Mopera</t>
  </si>
  <si>
    <t>John Arthur Panti</t>
  </si>
  <si>
    <t>Charity Marie Moneda</t>
  </si>
  <si>
    <t>Geenie Rorani Tabao</t>
  </si>
  <si>
    <t>Ivy Nacar</t>
  </si>
  <si>
    <t>Rhomna Velasquez</t>
  </si>
  <si>
    <t>Mervin Sagun</t>
  </si>
  <si>
    <t>Ronald Michael Barnachea</t>
  </si>
  <si>
    <t>Jash Gabriella Villegas</t>
  </si>
  <si>
    <t>Adrian Venzuela</t>
  </si>
  <si>
    <t>Jose Miguel Glorioso</t>
  </si>
  <si>
    <t>Angeline Torres</t>
  </si>
  <si>
    <t>Rose Agtay</t>
  </si>
  <si>
    <t>Jolly Gruta</t>
  </si>
  <si>
    <t>Kien Villegas</t>
  </si>
  <si>
    <t>Maricar Gomez</t>
  </si>
  <si>
    <t>Allain Daniel Espina</t>
  </si>
  <si>
    <t>Dennis Cinco</t>
  </si>
  <si>
    <t>Nikko Nitro</t>
  </si>
  <si>
    <t>Danica Endaya</t>
  </si>
  <si>
    <t>Thrysha Bandoy</t>
  </si>
  <si>
    <t>Patricia Chua</t>
  </si>
  <si>
    <t>Jacob Bustamante</t>
  </si>
  <si>
    <t>Gillien Hazel Delmonte</t>
  </si>
  <si>
    <t>Gericho Jade Nolasco</t>
  </si>
  <si>
    <t>Audrey Santiago</t>
  </si>
  <si>
    <t>John Dominic Layson</t>
  </si>
  <si>
    <t>Loridge Anne Gacho</t>
  </si>
  <si>
    <t>David Mateo Lanuza</t>
  </si>
  <si>
    <t>Jen Buencamino</t>
  </si>
  <si>
    <t>Neil Jeoffrey Quero</t>
  </si>
  <si>
    <t>Latrell Sombilon</t>
  </si>
  <si>
    <t>Reena Mae Perlas</t>
  </si>
  <si>
    <t>Dean Sto. Domingo</t>
  </si>
  <si>
    <t>Tina Provido</t>
  </si>
  <si>
    <t>Michael Lopez</t>
  </si>
  <si>
    <t>Romano Borabo</t>
  </si>
  <si>
    <t>Cristine Jane Labayo</t>
  </si>
  <si>
    <t>Clarise Carreon</t>
  </si>
  <si>
    <t>Debbie Simon</t>
  </si>
  <si>
    <t>Jude Mahilum</t>
  </si>
  <si>
    <t>DANIEL SALEDIO</t>
  </si>
  <si>
    <t>Marc Vincent Eugenio</t>
  </si>
  <si>
    <t>Sebastian Temporal</t>
  </si>
  <si>
    <t>Art Astley Ortiz</t>
  </si>
  <si>
    <t>John Paul Suyat</t>
  </si>
  <si>
    <t>Mebiee Santos</t>
  </si>
  <si>
    <t>Debby Gregorio-David</t>
  </si>
  <si>
    <t>Joshua Dan Regidor</t>
  </si>
  <si>
    <t>Renz Manuel</t>
  </si>
  <si>
    <t>Ivy Panganiban</t>
  </si>
  <si>
    <t>ROY ENCELA</t>
  </si>
  <si>
    <t>Pia Olarte</t>
  </si>
  <si>
    <t>Alexander Escalante</t>
  </si>
  <si>
    <t>Jero Algura</t>
  </si>
  <si>
    <t>Miko Anderson Yjares</t>
  </si>
  <si>
    <t>Lea Mae Montecastro</t>
  </si>
  <si>
    <t>Darwin Herbert Lubas</t>
  </si>
  <si>
    <t>Red Estrada</t>
  </si>
  <si>
    <t>Gelo Morong</t>
  </si>
  <si>
    <t>Edwin Dela Cruz</t>
  </si>
  <si>
    <t>Ravie Jane Palabrica</t>
  </si>
  <si>
    <t>Arvin Jay Gaa</t>
  </si>
  <si>
    <t>Vin Dela Cruz</t>
  </si>
  <si>
    <t>Robert Givero</t>
  </si>
  <si>
    <t>Chris Sabornido</t>
  </si>
  <si>
    <t>Karla Tigue</t>
  </si>
  <si>
    <t>Mark Dihiansan</t>
  </si>
  <si>
    <t>Myra Perez</t>
  </si>
  <si>
    <t>Shiela Monique Fajardo</t>
  </si>
  <si>
    <t>Maria Fe Malla</t>
  </si>
  <si>
    <t>Zowee De Vera</t>
  </si>
  <si>
    <t>Vince Layag</t>
  </si>
  <si>
    <t>Francis Kevin Canlas</t>
  </si>
  <si>
    <t>Tine Parayno</t>
  </si>
  <si>
    <t>Aaron Panganiban</t>
  </si>
  <si>
    <t>Klarizza Faylona</t>
  </si>
  <si>
    <t>Eric John Sison</t>
  </si>
  <si>
    <t>JM Gabison</t>
  </si>
  <si>
    <t>Jan Carlo Urminita</t>
  </si>
  <si>
    <t>Jan Santos</t>
  </si>
  <si>
    <t>Elei Domingo</t>
  </si>
  <si>
    <t>Anna Castañeda</t>
  </si>
  <si>
    <t>Jovy Gaw</t>
  </si>
  <si>
    <t>Mary Grace Caguioa</t>
  </si>
  <si>
    <t>Charlene Pangilinan</t>
  </si>
  <si>
    <t>Josef Faulmino</t>
  </si>
  <si>
    <t>Harold Jimenez</t>
  </si>
  <si>
    <t>Ryan Rey Corpin</t>
  </si>
  <si>
    <t>Gelo Diaz</t>
  </si>
  <si>
    <t>Aryel Benitez</t>
  </si>
  <si>
    <t>MARIA JOSSAN INES</t>
  </si>
  <si>
    <t>Alexander Verzosa</t>
  </si>
  <si>
    <t>Carlo Dimaranan</t>
  </si>
  <si>
    <t>Charles Baldemoro</t>
  </si>
  <si>
    <t>Ralph Macahiya</t>
  </si>
  <si>
    <t>Dheza James</t>
  </si>
  <si>
    <t>Jose Mauro Milay</t>
  </si>
  <si>
    <t>Mark Jairo Inalvez</t>
  </si>
  <si>
    <t>Earl Relucio</t>
  </si>
  <si>
    <t>Lewis Conrado Niguidula</t>
  </si>
  <si>
    <t>Brian Alba</t>
  </si>
  <si>
    <t>Celine Solis</t>
  </si>
  <si>
    <t>Mark Allen Daquioag</t>
  </si>
  <si>
    <t>Krizelle Calicdan</t>
  </si>
  <si>
    <t>Ron Borje</t>
  </si>
  <si>
    <t>Erwin Rodriguez</t>
  </si>
  <si>
    <t>Chang Tisang</t>
  </si>
  <si>
    <t>Irene Corazon Aguilar</t>
  </si>
  <si>
    <t>Pam Magnaye</t>
  </si>
  <si>
    <t>Den Mercado</t>
  </si>
  <si>
    <t>Flo AYALA</t>
  </si>
  <si>
    <t>Jon Rivera</t>
  </si>
  <si>
    <t>Karla Alejo</t>
  </si>
  <si>
    <t>Michael Baloran</t>
  </si>
  <si>
    <t>Lyron Kiel Rivera</t>
  </si>
  <si>
    <t>Louie Nohay</t>
  </si>
  <si>
    <t>Mei Novenario</t>
  </si>
  <si>
    <t>Pol Gaida</t>
  </si>
  <si>
    <t>Cris Magnaye</t>
  </si>
  <si>
    <t>Shuun Mendoza</t>
  </si>
  <si>
    <t>Cosmas Millares</t>
  </si>
  <si>
    <t>Angela de Guzman</t>
  </si>
  <si>
    <t>Ann Nazareno</t>
  </si>
  <si>
    <t>Clarissa Ortega</t>
  </si>
  <si>
    <t>Walter Borromeo</t>
  </si>
  <si>
    <t>Shiela Ramosa</t>
  </si>
  <si>
    <t>Adornado Tolledo Jr</t>
  </si>
  <si>
    <t>Gelo Macawili</t>
  </si>
  <si>
    <t>Shiela Lucido</t>
  </si>
  <si>
    <t>Eronna Mae Esmade</t>
  </si>
  <si>
    <t>Aina Ner</t>
  </si>
  <si>
    <t>Jeannell Casaje</t>
  </si>
  <si>
    <t>Keg Miguel Narvas</t>
  </si>
  <si>
    <t>Alex Quiroga</t>
  </si>
  <si>
    <t>ISH JACINTO</t>
  </si>
  <si>
    <t>Marcial III Merluza</t>
  </si>
  <si>
    <t>Jhanika Palad</t>
  </si>
  <si>
    <t>Marc Atanante</t>
  </si>
  <si>
    <t>Karla Africa</t>
  </si>
  <si>
    <t>Marinella Buquid</t>
  </si>
  <si>
    <t>Grace Nazareno</t>
  </si>
  <si>
    <t>Alex Waminal</t>
  </si>
  <si>
    <t>Vince Reyes</t>
  </si>
  <si>
    <t xml:space="preserve">Luzel Arsolon  </t>
  </si>
  <si>
    <t>Girlee Alvarado</t>
  </si>
  <si>
    <t>Charlene Embestro</t>
  </si>
  <si>
    <t>Argene Francisco</t>
  </si>
  <si>
    <t>Jessie Rivera</t>
  </si>
  <si>
    <t>Lynn Aromin</t>
  </si>
  <si>
    <t>Al Jemima Agapito</t>
  </si>
  <si>
    <t>Mike Garcia</t>
  </si>
  <si>
    <t>Garry Penoliar</t>
  </si>
  <si>
    <t>Rein Anyayahan</t>
  </si>
  <si>
    <t>Vic Bolante</t>
  </si>
  <si>
    <t>Kyla Lardizabal</t>
  </si>
  <si>
    <t>John Lemuel Parma</t>
  </si>
  <si>
    <t>Ken Mabalot</t>
  </si>
  <si>
    <t>Drei Palaña</t>
  </si>
  <si>
    <t>Franelyn May Abalos</t>
  </si>
  <si>
    <t>JK Malabanan</t>
  </si>
  <si>
    <t>Dane Cainto</t>
  </si>
  <si>
    <t>Abegail Lapuz</t>
  </si>
  <si>
    <t>Rose Ann Esquivel</t>
  </si>
  <si>
    <t>John Christian Sun</t>
  </si>
  <si>
    <t>Felmer Ramos</t>
  </si>
  <si>
    <t>Innah Alagao</t>
  </si>
  <si>
    <t>Hanz Ong</t>
  </si>
  <si>
    <t>Eunice Haide Barrios</t>
  </si>
  <si>
    <t>Martin Louie Clemente</t>
  </si>
  <si>
    <t>Fred Usero</t>
  </si>
  <si>
    <t>Gerlie Santolices</t>
  </si>
  <si>
    <t>Bryan Ambida</t>
  </si>
  <si>
    <t>Rodolfo II Panlilio</t>
  </si>
  <si>
    <t>Christie Cadano</t>
  </si>
  <si>
    <t>Jay Lebert Maranan</t>
  </si>
  <si>
    <t>John Clinton Layosa</t>
  </si>
  <si>
    <t>Phil Mar Celeste</t>
  </si>
  <si>
    <t>Jamie Titular</t>
  </si>
  <si>
    <t>Angelo Rivera</t>
  </si>
  <si>
    <t>Hans Yu</t>
  </si>
  <si>
    <t>Lucky Gerona</t>
  </si>
  <si>
    <t>Eugene Aloba</t>
  </si>
  <si>
    <t>Jake Rodriguez</t>
  </si>
  <si>
    <t>Jonas Trinidad</t>
  </si>
  <si>
    <t>Shairhany Ayawan</t>
  </si>
  <si>
    <t>Emman Christian Pagcaliwagan</t>
  </si>
  <si>
    <t>Ann Gelize Gomez</t>
  </si>
  <si>
    <t>Bianca Bea Nolasco</t>
  </si>
  <si>
    <t>Mike Bellen</t>
  </si>
  <si>
    <t>Gerry Mauricio</t>
  </si>
  <si>
    <t>Darryl John Pagcaliwagan</t>
  </si>
  <si>
    <t>Jiro Mallari</t>
  </si>
  <si>
    <t>Marideth Valderama-Fetalvero</t>
  </si>
  <si>
    <t>Maria Elena Navarro</t>
  </si>
  <si>
    <t>Marc Emmanuel Ramos</t>
  </si>
  <si>
    <t>Robert Revilla II</t>
  </si>
  <si>
    <t>Russel Roy Deapera</t>
  </si>
  <si>
    <t>Nicole Domasin</t>
  </si>
  <si>
    <t>Aaron Abordo</t>
  </si>
  <si>
    <t>Aurus Ortiz</t>
  </si>
  <si>
    <t>Ezekiel Monfero</t>
  </si>
  <si>
    <t>Rusty Villaflores</t>
  </si>
  <si>
    <t>Ernest Tee</t>
  </si>
  <si>
    <t>May Dizon</t>
  </si>
  <si>
    <t>Michael Cauguiran</t>
  </si>
  <si>
    <t>Paul John Garcia</t>
  </si>
  <si>
    <t>Adrian Esteban</t>
  </si>
  <si>
    <t>Paul Justin Manjares</t>
  </si>
  <si>
    <t>John Biagon</t>
  </si>
  <si>
    <t>Red Junio</t>
  </si>
  <si>
    <t>Adrian Sulit</t>
  </si>
  <si>
    <t>Carl Infante</t>
  </si>
  <si>
    <t>Nikie Evangelista</t>
  </si>
  <si>
    <t>Lou Serdoncillo</t>
  </si>
  <si>
    <t>Matthew Roque</t>
  </si>
  <si>
    <t>Nic Nicolas</t>
  </si>
  <si>
    <t>Cath Figueras</t>
  </si>
  <si>
    <t>Claire Deogracias</t>
  </si>
  <si>
    <t>Dankris Martin</t>
  </si>
  <si>
    <t>Mary May Albaracin</t>
  </si>
  <si>
    <t>Kristina Barrinuevo</t>
  </si>
  <si>
    <t>Marian Helen Basaen</t>
  </si>
  <si>
    <t>Patricia Belmonte</t>
  </si>
  <si>
    <t>Ann Bombay</t>
  </si>
  <si>
    <t>Bey Buendia</t>
  </si>
  <si>
    <t>Christian Calolot</t>
  </si>
  <si>
    <t>Jozelle Casiano</t>
  </si>
  <si>
    <t>Mark Colibao</t>
  </si>
  <si>
    <t>Carmelita Cruz</t>
  </si>
  <si>
    <t>Kiddo Gabby</t>
  </si>
  <si>
    <t>Marcus Estrella</t>
  </si>
  <si>
    <t>Sky Garrido</t>
  </si>
  <si>
    <t>Jana Gipit</t>
  </si>
  <si>
    <t>Joshua Joaquin</t>
  </si>
  <si>
    <t>Arielle Lilagan</t>
  </si>
  <si>
    <t>Philip Magpili</t>
  </si>
  <si>
    <t>Briggs Malonzo</t>
  </si>
  <si>
    <t>Pee Jay Malusay</t>
  </si>
  <si>
    <t>Del Miranda</t>
  </si>
  <si>
    <t>Aaron Paul Montero</t>
  </si>
  <si>
    <t>Franchezka Mae Quiwa</t>
  </si>
  <si>
    <t>Eirah Raymundo</t>
  </si>
  <si>
    <t>Mark Christian Saberon</t>
  </si>
  <si>
    <t>Kim Sasis</t>
  </si>
  <si>
    <t>Ramon Tabo</t>
  </si>
  <si>
    <t>Jheed Tan</t>
  </si>
  <si>
    <t>Mico Tayag</t>
  </si>
  <si>
    <t>Grace Ueno</t>
  </si>
  <si>
    <t>Louigi Villegas</t>
  </si>
  <si>
    <t>Deniel Anatalio</t>
  </si>
  <si>
    <t>Patrick Aniciete</t>
  </si>
  <si>
    <t>Jovenry Balangue</t>
  </si>
  <si>
    <t>Brian Besinio</t>
  </si>
  <si>
    <t>Echo Borbon</t>
  </si>
  <si>
    <t>Rusty Bulan</t>
  </si>
  <si>
    <t>Pats Buo</t>
  </si>
  <si>
    <t>Jasper John Calambro</t>
  </si>
  <si>
    <t>Elmark Corpus</t>
  </si>
  <si>
    <t>Louis Cueto</t>
  </si>
  <si>
    <t>Ren De Leon</t>
  </si>
  <si>
    <t>Richard Delos Santos</t>
  </si>
  <si>
    <t>Via Empesto</t>
  </si>
  <si>
    <t>Queen Rachel Enriquez</t>
  </si>
  <si>
    <t>Eloi Gonzales</t>
  </si>
  <si>
    <t>Kenneth Hernandez</t>
  </si>
  <si>
    <t>Azear John Lacsamana</t>
  </si>
  <si>
    <t>Jester Lubuguin</t>
  </si>
  <si>
    <t>Kristina Marie Lugay</t>
  </si>
  <si>
    <t>Reyann Naga</t>
  </si>
  <si>
    <t>Robyne Pamoceno</t>
  </si>
  <si>
    <t>Leslie Panes</t>
  </si>
  <si>
    <t>Raymond Par</t>
  </si>
  <si>
    <t>Ali Pirzada</t>
  </si>
  <si>
    <t>Elyssa Marie Pletado</t>
  </si>
  <si>
    <t>Gerard Potato</t>
  </si>
  <si>
    <t>Erveen Ray Ramos</t>
  </si>
  <si>
    <t>Marx Reyes</t>
  </si>
  <si>
    <t>Andrei Reyes</t>
  </si>
  <si>
    <t>Vince Tenorio</t>
  </si>
  <si>
    <t>Alec Villados</t>
  </si>
  <si>
    <t>Rachelle Villaflor</t>
  </si>
  <si>
    <t>Jessli Nocon</t>
  </si>
  <si>
    <t>Jenny Labao</t>
  </si>
  <si>
    <t>John Lee Mazo</t>
  </si>
  <si>
    <t>Ryan Ocampo</t>
  </si>
  <si>
    <t>Paolo Ubaldo</t>
  </si>
  <si>
    <t>Ramon Dela Cruz</t>
  </si>
  <si>
    <t>Nyrico Cuartel</t>
  </si>
  <si>
    <t>Daniela Concha</t>
  </si>
  <si>
    <t>Neil Kalaw</t>
  </si>
  <si>
    <t>Sean San Juan</t>
  </si>
  <si>
    <t>Kristine Bustillo</t>
  </si>
  <si>
    <t>Karla Roman</t>
  </si>
  <si>
    <t>Lexter John Mariano</t>
  </si>
  <si>
    <t>Christian Castro</t>
  </si>
  <si>
    <t>CJ SANTOS</t>
  </si>
  <si>
    <t>Tine Garcia</t>
  </si>
  <si>
    <t>Mariejoe Diamzon</t>
  </si>
  <si>
    <t>Adrian Arante</t>
  </si>
  <si>
    <t>Anjo Javier</t>
  </si>
  <si>
    <t>Jay-ar Ocampo</t>
  </si>
  <si>
    <t>ZYMON JOHN GUANZON</t>
  </si>
  <si>
    <t>Layla Traviño</t>
  </si>
  <si>
    <t>Aira Arciaga</t>
  </si>
  <si>
    <t>Ranny Edejer</t>
  </si>
  <si>
    <t>Adrian Bandelaria</t>
  </si>
  <si>
    <t>Maria Cristina San Jose</t>
  </si>
  <si>
    <t>Jasper John Calabio</t>
  </si>
  <si>
    <t>Kyle Bulan</t>
  </si>
  <si>
    <t>Nicole Suñer</t>
  </si>
  <si>
    <t>Mark Joseph Recile</t>
  </si>
  <si>
    <t>Carmen Rayel</t>
  </si>
  <si>
    <t>CK Luna</t>
  </si>
  <si>
    <t>Anne-bel Amado</t>
  </si>
  <si>
    <t>Harley Tesorero</t>
  </si>
  <si>
    <t>Ivan Rey Amper</t>
  </si>
  <si>
    <t>Rose Mae Pusancho</t>
  </si>
  <si>
    <t>Joven Singian</t>
  </si>
  <si>
    <t>Dian Cuerda</t>
  </si>
  <si>
    <t>Jasper Lumba</t>
  </si>
  <si>
    <t>Current Headcount
(August 2025)</t>
  </si>
  <si>
    <t>Add'l by August 18</t>
  </si>
  <si>
    <t>Total</t>
  </si>
  <si>
    <t>Seats (Oracle)</t>
  </si>
  <si>
    <t>Seats (FIT)</t>
  </si>
  <si>
    <t>Seats (SAP)</t>
  </si>
  <si>
    <t>Total Seats</t>
  </si>
  <si>
    <t>Project room 2</t>
  </si>
  <si>
    <t>Flex Project room 4</t>
  </si>
  <si>
    <t>closed rooms</t>
  </si>
  <si>
    <t>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</si>
</sst>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>
    <font>
      <sz val="11"/>
      <color theme="1"/>
      <name val="Aptos Narrow"/>
      <family val="2"/>
      <scheme val="minor"/>
    </font>
    <font>
      <sz val="11"/>
      <color theme="1"/>
      <name val="Aptos Display"/>
      <scheme val="major"/>
    </font>
    <font>
      <sz val="11"/>
      <color rgb="FFFF0000"/>
      <name val="Aptos Display"/>
      <scheme val="major"/>
    </font>
    <font>
      <b/>
      <sz val="11"/>
      <color rgb="FFFF0000"/>
      <name val="Aptos Display"/>
      <scheme val="major"/>
    </font>
    <font>
      <sz val="11"/>
      <color rgb="FF000000"/>
      <name val="Aptos Display"/>
      <scheme val="major"/>
    </font>
    <font>
      <sz val="10"/>
      <color theme="1"/>
      <name val="Aptos Display"/>
      <scheme val="major"/>
    </font>
    <font>
      <sz val="10"/>
      <color rgb="FFFF0000"/>
      <name val="Aptos Display"/>
      <scheme val="major"/>
    </font>
    <font>
      <b/>
      <sz val="11"/>
      <color theme="1"/>
      <name val="Aptos Display"/>
      <scheme val="major"/>
    </font>
    <font>
      <b/>
      <i/>
      <sz val="11"/>
      <color theme="1"/>
      <name val="Aptos Display"/>
      <scheme val="major"/>
    </font>
    <font>
      <b/>
      <sz val="11"/>
      <color rgb="FF000000"/>
      <name val="Arial Narrow"/>
      <family val="2"/>
    </font>
    <font>
      <b/>
      <sz val="11"/>
      <color rgb="FF000000"/>
      <name val="Aptos Display"/>
      <scheme val="major"/>
    </font>
    <font>
      <sz val="11"/>
      <color theme="0"/>
      <name val="Aptos Display"/>
      <scheme val="major"/>
    </font>
    <font>
      <b/>
      <sz val="11"/>
      <color theme="0"/>
      <name val="Aptos Display"/>
      <scheme val="major"/>
    </font>
    <font>
      <b/>
      <sz val="11"/>
      <color rgb="FFFFFFFF"/>
      <name val="Aptos Display"/>
      <scheme val="major"/>
    </font>
    <font>
      <b/>
      <sz val="11"/>
      <color theme="1"/>
      <name val="Aptos Narrow"/>
      <family val="2"/>
      <scheme val="minor"/>
    </font>
    <font>
      <b/>
      <sz val="11"/>
      <color rgb="FFCD5937"/>
      <name val="Aptos Narrow"/>
      <family val="2"/>
      <scheme val="minor"/>
    </font>
    <font>
      <b/>
      <sz val="14"/>
      <color rgb="FF000000"/>
      <name val="Aptos Display"/>
      <scheme val="major"/>
    </font>
    <font>
      <b/>
      <sz val="14"/>
      <color theme="0"/>
      <name val="Aptos Display"/>
      <scheme val="major"/>
    </font>
    <font>
      <b/>
      <sz val="14"/>
      <color theme="1"/>
      <name val="Aptos Display"/>
      <scheme val="major"/>
    </font>
  </fonts>
  <fills count="3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EB719D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70A14"/>
        <bgColor indexed="64"/>
      </patternFill>
    </fill>
    <fill>
      <patternFill patternType="solid">
        <fgColor rgb="FFCFEDF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0CEEF"/>
        <bgColor indexed="64"/>
      </patternFill>
    </fill>
    <fill>
      <patternFill patternType="solid">
        <fgColor rgb="FF5E93D7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9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7" fillId="0" borderId="20" xfId="0" applyFont="1" applyBorder="1" applyAlignment="1">
      <alignment horizontal="left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vertical="center"/>
    </xf>
    <xf numFmtId="0" fontId="7" fillId="0" borderId="23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1" fillId="3" borderId="13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left" vertical="center"/>
    </xf>
    <xf numFmtId="0" fontId="1" fillId="5" borderId="0" xfId="0" applyFont="1" applyFill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left" vertical="center"/>
    </xf>
    <xf numFmtId="0" fontId="1" fillId="6" borderId="14" xfId="0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left" vertical="center"/>
    </xf>
    <xf numFmtId="0" fontId="1" fillId="7" borderId="16" xfId="0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9" fillId="0" borderId="0" xfId="0" applyFont="1"/>
    <xf numFmtId="0" fontId="9" fillId="10" borderId="0" xfId="0" applyFont="1" applyFill="1"/>
    <xf numFmtId="0" fontId="9" fillId="11" borderId="0" xfId="0" applyFont="1" applyFill="1"/>
    <xf numFmtId="0" fontId="9" fillId="12" borderId="0" xfId="0" applyFont="1" applyFill="1"/>
    <xf numFmtId="0" fontId="4" fillId="13" borderId="13" xfId="0" applyFont="1" applyFill="1" applyBorder="1" applyAlignment="1">
      <alignment horizontal="left" vertical="center"/>
    </xf>
    <xf numFmtId="0" fontId="1" fillId="15" borderId="1" xfId="0" applyFont="1" applyFill="1" applyBorder="1" applyAlignment="1">
      <alignment horizontal="center" vertical="center"/>
    </xf>
    <xf numFmtId="0" fontId="1" fillId="15" borderId="15" xfId="0" applyFont="1" applyFill="1" applyBorder="1" applyAlignment="1">
      <alignment horizontal="left" vertical="center"/>
    </xf>
    <xf numFmtId="0" fontId="1" fillId="15" borderId="16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4" borderId="13" xfId="0" applyFont="1" applyFill="1" applyBorder="1" applyAlignment="1">
      <alignment horizontal="left" vertical="center"/>
    </xf>
    <xf numFmtId="0" fontId="1" fillId="16" borderId="13" xfId="0" applyFont="1" applyFill="1" applyBorder="1" applyAlignment="1">
      <alignment horizontal="left" vertical="center"/>
    </xf>
    <xf numFmtId="0" fontId="10" fillId="0" borderId="0" xfId="0" applyFont="1"/>
    <xf numFmtId="0" fontId="1" fillId="18" borderId="1" xfId="0" applyFont="1" applyFill="1" applyBorder="1" applyAlignment="1">
      <alignment vertical="center"/>
    </xf>
    <xf numFmtId="0" fontId="1" fillId="18" borderId="7" xfId="0" applyFont="1" applyFill="1" applyBorder="1" applyAlignment="1">
      <alignment vertical="center"/>
    </xf>
    <xf numFmtId="0" fontId="4" fillId="18" borderId="13" xfId="0" applyFont="1" applyFill="1" applyBorder="1" applyAlignment="1">
      <alignment horizontal="left" vertical="center"/>
    </xf>
    <xf numFmtId="164" fontId="1" fillId="0" borderId="14" xfId="0" applyNumberFormat="1" applyFont="1" applyBorder="1" applyAlignment="1">
      <alignment horizontal="center" vertical="center"/>
    </xf>
    <xf numFmtId="0" fontId="1" fillId="9" borderId="13" xfId="0" applyFont="1" applyFill="1" applyBorder="1" applyAlignment="1">
      <alignment horizontal="left" vertical="center"/>
    </xf>
    <xf numFmtId="0" fontId="1" fillId="17" borderId="13" xfId="0" applyFont="1" applyFill="1" applyBorder="1" applyAlignment="1">
      <alignment horizontal="left" vertical="center"/>
    </xf>
    <xf numFmtId="0" fontId="1" fillId="16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7" borderId="0" xfId="0" applyFont="1" applyFill="1" applyAlignment="1">
      <alignment horizontal="center" vertical="center"/>
    </xf>
    <xf numFmtId="0" fontId="7" fillId="18" borderId="0" xfId="0" applyFont="1" applyFill="1" applyAlignment="1">
      <alignment horizontal="center" vertical="center"/>
    </xf>
    <xf numFmtId="0" fontId="1" fillId="18" borderId="0" xfId="0" applyFont="1" applyFill="1" applyAlignment="1">
      <alignment horizontal="center" vertical="center"/>
    </xf>
    <xf numFmtId="0" fontId="7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1" fillId="14" borderId="0" xfId="0" applyFont="1" applyFill="1" applyAlignment="1">
      <alignment horizontal="center" vertical="center"/>
    </xf>
    <xf numFmtId="0" fontId="1" fillId="16" borderId="0" xfId="0" applyFont="1" applyFill="1" applyAlignment="1">
      <alignment horizontal="center" vertical="center"/>
    </xf>
    <xf numFmtId="0" fontId="1" fillId="20" borderId="0" xfId="0" applyFont="1" applyFill="1" applyAlignment="1">
      <alignment horizontal="center" vertical="center"/>
    </xf>
    <xf numFmtId="0" fontId="1" fillId="20" borderId="14" xfId="0" applyFont="1" applyFill="1" applyBorder="1" applyAlignment="1">
      <alignment horizontal="center" vertical="center"/>
    </xf>
    <xf numFmtId="0" fontId="7" fillId="0" borderId="26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/>
    </xf>
    <xf numFmtId="1" fontId="1" fillId="0" borderId="14" xfId="0" applyNumberFormat="1" applyFont="1" applyBorder="1" applyAlignment="1">
      <alignment horizontal="center" vertical="center"/>
    </xf>
    <xf numFmtId="0" fontId="12" fillId="21" borderId="24" xfId="0" applyFont="1" applyFill="1" applyBorder="1" applyAlignment="1">
      <alignment horizontal="left" vertical="center"/>
    </xf>
    <xf numFmtId="0" fontId="11" fillId="21" borderId="25" xfId="0" applyFont="1" applyFill="1" applyBorder="1" applyAlignment="1">
      <alignment horizontal="center" vertical="center"/>
    </xf>
    <xf numFmtId="0" fontId="12" fillId="21" borderId="25" xfId="0" applyFont="1" applyFill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0" fontId="11" fillId="22" borderId="15" xfId="0" applyFont="1" applyFill="1" applyBorder="1" applyAlignment="1">
      <alignment horizontal="left" vertical="center"/>
    </xf>
    <xf numFmtId="0" fontId="11" fillId="22" borderId="16" xfId="0" applyFont="1" applyFill="1" applyBorder="1" applyAlignment="1">
      <alignment horizontal="left" vertical="center"/>
    </xf>
    <xf numFmtId="0" fontId="11" fillId="22" borderId="16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4" fillId="0" borderId="0" xfId="0" applyFont="1"/>
    <xf numFmtId="0" fontId="15" fillId="0" borderId="0" xfId="0" applyFont="1"/>
    <xf numFmtId="0" fontId="0" fillId="24" borderId="0" xfId="0" applyFill="1"/>
    <xf numFmtId="0" fontId="15" fillId="24" borderId="0" xfId="0" applyFont="1" applyFill="1"/>
    <xf numFmtId="0" fontId="1" fillId="18" borderId="1" xfId="0" applyFont="1" applyFill="1" applyBorder="1" applyAlignment="1">
      <alignment horizontal="center" vertical="center"/>
    </xf>
    <xf numFmtId="0" fontId="1" fillId="18" borderId="7" xfId="0" applyFont="1" applyFill="1" applyBorder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0" fillId="0" borderId="0" xfId="0" pivotButton="1"/>
    <xf numFmtId="0" fontId="1" fillId="0" borderId="0" xfId="0" applyFont="1" applyAlignment="1">
      <alignment vertical="center" wrapText="1"/>
    </xf>
    <xf numFmtId="0" fontId="11" fillId="2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26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24" borderId="1" xfId="0" applyFont="1" applyFill="1" applyBorder="1" applyAlignment="1">
      <alignment horizontal="center" vertical="center"/>
    </xf>
    <xf numFmtId="0" fontId="11" fillId="27" borderId="1" xfId="0" applyFont="1" applyFill="1" applyBorder="1" applyAlignment="1">
      <alignment horizontal="center" vertical="center"/>
    </xf>
    <xf numFmtId="0" fontId="1" fillId="28" borderId="1" xfId="0" applyFont="1" applyFill="1" applyBorder="1" applyAlignment="1">
      <alignment horizontal="center" vertical="center"/>
    </xf>
    <xf numFmtId="0" fontId="1" fillId="29" borderId="1" xfId="0" applyFont="1" applyFill="1" applyBorder="1" applyAlignment="1">
      <alignment horizontal="center" vertical="center"/>
    </xf>
    <xf numFmtId="0" fontId="1" fillId="30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4" fillId="31" borderId="13" xfId="0" applyFont="1" applyFill="1" applyBorder="1" applyAlignment="1">
      <alignment horizontal="left" vertical="center"/>
    </xf>
    <xf numFmtId="0" fontId="7" fillId="31" borderId="0" xfId="0" applyFont="1" applyFill="1" applyAlignment="1">
      <alignment horizontal="center" vertical="center"/>
    </xf>
    <xf numFmtId="0" fontId="1" fillId="31" borderId="0" xfId="0" applyFont="1" applyFill="1" applyAlignment="1">
      <alignment horizontal="center" vertical="center"/>
    </xf>
    <xf numFmtId="0" fontId="1" fillId="29" borderId="13" xfId="0" applyFont="1" applyFill="1" applyBorder="1" applyAlignment="1">
      <alignment horizontal="left" vertical="center"/>
    </xf>
    <xf numFmtId="0" fontId="1" fillId="29" borderId="0" xfId="0" applyFont="1" applyFill="1" applyAlignment="1">
      <alignment horizontal="center" vertical="center"/>
    </xf>
    <xf numFmtId="0" fontId="1" fillId="28" borderId="13" xfId="0" applyFont="1" applyFill="1" applyBorder="1" applyAlignment="1">
      <alignment horizontal="left" vertical="center"/>
    </xf>
    <xf numFmtId="0" fontId="1" fillId="28" borderId="0" xfId="0" applyFont="1" applyFill="1" applyAlignment="1">
      <alignment horizontal="center" vertical="center"/>
    </xf>
    <xf numFmtId="0" fontId="1" fillId="27" borderId="13" xfId="0" applyFont="1" applyFill="1" applyBorder="1" applyAlignment="1">
      <alignment horizontal="left" vertical="center"/>
    </xf>
    <xf numFmtId="0" fontId="1" fillId="27" borderId="0" xfId="0" applyFont="1" applyFill="1" applyAlignment="1">
      <alignment horizontal="center" vertical="center"/>
    </xf>
    <xf numFmtId="0" fontId="1" fillId="8" borderId="13" xfId="0" applyFont="1" applyFill="1" applyBorder="1" applyAlignment="1">
      <alignment horizontal="left" vertical="center"/>
    </xf>
    <xf numFmtId="0" fontId="1" fillId="8" borderId="0" xfId="0" applyFont="1" applyFill="1" applyAlignment="1">
      <alignment horizontal="center" vertical="center"/>
    </xf>
    <xf numFmtId="0" fontId="1" fillId="24" borderId="15" xfId="0" applyFont="1" applyFill="1" applyBorder="1" applyAlignment="1">
      <alignment horizontal="left" vertical="center"/>
    </xf>
    <xf numFmtId="0" fontId="1" fillId="24" borderId="16" xfId="0" applyFont="1" applyFill="1" applyBorder="1" applyAlignment="1">
      <alignment horizontal="center" vertical="center"/>
    </xf>
    <xf numFmtId="0" fontId="4" fillId="32" borderId="13" xfId="0" applyFont="1" applyFill="1" applyBorder="1" applyAlignment="1">
      <alignment horizontal="left" vertical="center"/>
    </xf>
    <xf numFmtId="0" fontId="7" fillId="32" borderId="0" xfId="0" applyFont="1" applyFill="1" applyAlignment="1">
      <alignment horizontal="center" vertical="center"/>
    </xf>
    <xf numFmtId="0" fontId="1" fillId="32" borderId="0" xfId="0" applyFont="1" applyFill="1" applyAlignment="1">
      <alignment horizontal="center" vertical="center"/>
    </xf>
    <xf numFmtId="0" fontId="1" fillId="32" borderId="14" xfId="0" applyFont="1" applyFill="1" applyBorder="1" applyAlignment="1">
      <alignment horizontal="center" vertical="center"/>
    </xf>
    <xf numFmtId="0" fontId="1" fillId="24" borderId="17" xfId="0" applyFont="1" applyFill="1" applyBorder="1" applyAlignment="1">
      <alignment horizontal="center" vertical="center"/>
    </xf>
    <xf numFmtId="164" fontId="1" fillId="24" borderId="17" xfId="0" applyNumberFormat="1" applyFont="1" applyFill="1" applyBorder="1" applyAlignment="1">
      <alignment horizontal="center" vertical="center"/>
    </xf>
    <xf numFmtId="0" fontId="1" fillId="33" borderId="0" xfId="0" applyFont="1" applyFill="1" applyAlignment="1">
      <alignment horizontal="center" vertical="center"/>
    </xf>
    <xf numFmtId="0" fontId="1" fillId="24" borderId="0" xfId="0" applyFont="1" applyFill="1" applyAlignment="1">
      <alignment horizontal="center" vertical="center"/>
    </xf>
    <xf numFmtId="0" fontId="11" fillId="17" borderId="15" xfId="0" applyFont="1" applyFill="1" applyBorder="1" applyAlignment="1">
      <alignment horizontal="left" vertical="center"/>
    </xf>
    <xf numFmtId="0" fontId="11" fillId="17" borderId="16" xfId="0" applyFont="1" applyFill="1" applyBorder="1" applyAlignment="1">
      <alignment horizontal="left" vertical="center"/>
    </xf>
    <xf numFmtId="0" fontId="11" fillId="17" borderId="16" xfId="0" applyFont="1" applyFill="1" applyBorder="1" applyAlignment="1">
      <alignment horizontal="center" vertical="center"/>
    </xf>
    <xf numFmtId="0" fontId="11" fillId="23" borderId="1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1" fontId="1" fillId="0" borderId="16" xfId="0" applyNumberFormat="1" applyFont="1" applyBorder="1" applyAlignment="1">
      <alignment horizontal="center" vertical="center"/>
    </xf>
    <xf numFmtId="1" fontId="1" fillId="0" borderId="17" xfId="0" applyNumberFormat="1" applyFont="1" applyBorder="1" applyAlignment="1">
      <alignment horizontal="center" vertical="center"/>
    </xf>
    <xf numFmtId="0" fontId="17" fillId="17" borderId="15" xfId="0" applyFont="1" applyFill="1" applyBorder="1" applyAlignment="1">
      <alignment horizontal="center" vertical="center"/>
    </xf>
    <xf numFmtId="0" fontId="17" fillId="17" borderId="16" xfId="0" applyFont="1" applyFill="1" applyBorder="1" applyAlignment="1">
      <alignment horizontal="center" vertical="center"/>
    </xf>
    <xf numFmtId="0" fontId="1" fillId="24" borderId="15" xfId="0" applyFont="1" applyFill="1" applyBorder="1" applyAlignment="1">
      <alignment horizontal="center" vertical="center"/>
    </xf>
    <xf numFmtId="0" fontId="1" fillId="24" borderId="16" xfId="0" applyFont="1" applyFill="1" applyBorder="1" applyAlignment="1">
      <alignment horizontal="center" vertical="center"/>
    </xf>
    <xf numFmtId="0" fontId="1" fillId="24" borderId="17" xfId="0" applyFont="1" applyFill="1" applyBorder="1" applyAlignment="1">
      <alignment horizontal="center" vertical="center"/>
    </xf>
    <xf numFmtId="1" fontId="1" fillId="24" borderId="16" xfId="0" applyNumberFormat="1" applyFont="1" applyFill="1" applyBorder="1" applyAlignment="1">
      <alignment horizontal="center" vertical="center"/>
    </xf>
    <xf numFmtId="1" fontId="1" fillId="24" borderId="17" xfId="0" applyNumberFormat="1" applyFont="1" applyFill="1" applyBorder="1" applyAlignment="1">
      <alignment horizontal="center" vertical="center"/>
    </xf>
    <xf numFmtId="0" fontId="2" fillId="0" borderId="13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1" fillId="0" borderId="14" xfId="0" applyNumberFormat="1" applyFont="1" applyBorder="1" applyAlignment="1">
      <alignment horizontal="center" vertical="center"/>
    </xf>
    <xf numFmtId="0" fontId="1" fillId="32" borderId="13" xfId="0" applyFont="1" applyFill="1" applyBorder="1" applyAlignment="1">
      <alignment horizontal="center" vertical="center"/>
    </xf>
    <xf numFmtId="0" fontId="1" fillId="32" borderId="0" xfId="0" applyFont="1" applyFill="1" applyAlignment="1">
      <alignment horizontal="center" vertical="center"/>
    </xf>
    <xf numFmtId="0" fontId="1" fillId="32" borderId="14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9" fontId="7" fillId="0" borderId="25" xfId="0" applyNumberFormat="1" applyFont="1" applyBorder="1" applyAlignment="1">
      <alignment horizontal="center" vertical="center" wrapText="1"/>
    </xf>
    <xf numFmtId="0" fontId="12" fillId="21" borderId="24" xfId="0" applyFont="1" applyFill="1" applyBorder="1" applyAlignment="1">
      <alignment horizontal="left" vertical="center" wrapText="1"/>
    </xf>
    <xf numFmtId="0" fontId="12" fillId="21" borderId="25" xfId="0" applyFont="1" applyFill="1" applyBorder="1" applyAlignment="1">
      <alignment horizontal="left" vertical="center" wrapText="1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1" fontId="1" fillId="0" borderId="25" xfId="0" applyNumberFormat="1" applyFont="1" applyBorder="1" applyAlignment="1">
      <alignment horizontal="center" vertical="center"/>
    </xf>
    <xf numFmtId="1" fontId="1" fillId="0" borderId="26" xfId="0" applyNumberFormat="1" applyFont="1" applyBorder="1" applyAlignment="1">
      <alignment horizontal="center" vertical="center"/>
    </xf>
    <xf numFmtId="0" fontId="17" fillId="27" borderId="0" xfId="0" applyFont="1" applyFill="1" applyAlignment="1">
      <alignment horizontal="center"/>
    </xf>
    <xf numFmtId="0" fontId="18" fillId="16" borderId="13" xfId="0" applyFont="1" applyFill="1" applyBorder="1" applyAlignment="1">
      <alignment horizontal="center" vertical="center"/>
    </xf>
    <xf numFmtId="0" fontId="18" fillId="16" borderId="0" xfId="0" applyFont="1" applyFill="1" applyAlignment="1">
      <alignment horizontal="center" vertical="center"/>
    </xf>
    <xf numFmtId="0" fontId="16" fillId="18" borderId="0" xfId="0" applyFont="1" applyFill="1" applyAlignment="1">
      <alignment horizontal="center" vertical="center"/>
    </xf>
    <xf numFmtId="0" fontId="17" fillId="22" borderId="15" xfId="0" applyFont="1" applyFill="1" applyBorder="1" applyAlignment="1">
      <alignment horizontal="center" vertical="center"/>
    </xf>
    <xf numFmtId="0" fontId="17" fillId="22" borderId="16" xfId="0" applyFont="1" applyFill="1" applyBorder="1" applyAlignment="1">
      <alignment horizontal="center" vertical="center"/>
    </xf>
    <xf numFmtId="0" fontId="18" fillId="24" borderId="0" xfId="0" applyFont="1" applyFill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6" fillId="29" borderId="0" xfId="0" applyFont="1" applyFill="1" applyAlignment="1">
      <alignment horizontal="center"/>
    </xf>
    <xf numFmtId="0" fontId="16" fillId="28" borderId="0" xfId="0" applyFont="1" applyFill="1" applyAlignment="1">
      <alignment horizontal="center"/>
    </xf>
    <xf numFmtId="0" fontId="16" fillId="11" borderId="0" xfId="0" applyFont="1" applyFill="1" applyAlignment="1">
      <alignment horizontal="center"/>
    </xf>
    <xf numFmtId="0" fontId="16" fillId="3" borderId="0" xfId="0" applyFont="1" applyFill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1" fillId="23" borderId="7" xfId="0" applyFont="1" applyFill="1" applyBorder="1" applyAlignment="1">
      <alignment horizontal="center" vertical="center"/>
    </xf>
    <xf numFmtId="0" fontId="11" fillId="23" borderId="1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1" fillId="27" borderId="7" xfId="0" applyFont="1" applyFill="1" applyBorder="1" applyAlignment="1">
      <alignment horizontal="center" vertical="center"/>
    </xf>
    <xf numFmtId="0" fontId="11" fillId="27" borderId="11" xfId="0" applyFont="1" applyFill="1" applyBorder="1" applyAlignment="1">
      <alignment horizontal="center" vertical="center"/>
    </xf>
    <xf numFmtId="0" fontId="11" fillId="27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4" borderId="7" xfId="0" applyFont="1" applyFill="1" applyBorder="1" applyAlignment="1">
      <alignment horizontal="center" vertical="center"/>
    </xf>
    <xf numFmtId="0" fontId="1" fillId="24" borderId="1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textRotation="255" wrapText="1"/>
    </xf>
    <xf numFmtId="0" fontId="1" fillId="17" borderId="7" xfId="0" applyFont="1" applyFill="1" applyBorder="1" applyAlignment="1">
      <alignment horizontal="center" vertical="center"/>
    </xf>
    <xf numFmtId="0" fontId="1" fillId="17" borderId="11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7" fillId="24" borderId="0" xfId="0" applyFont="1" applyFill="1" applyAlignment="1">
      <alignment horizontal="center" vertical="center"/>
    </xf>
    <xf numFmtId="0" fontId="12" fillId="22" borderId="15" xfId="0" applyFont="1" applyFill="1" applyBorder="1" applyAlignment="1">
      <alignment horizontal="center" vertical="center"/>
    </xf>
    <xf numFmtId="0" fontId="12" fillId="22" borderId="16" xfId="0" applyFont="1" applyFill="1" applyBorder="1" applyAlignment="1">
      <alignment horizontal="center" vertical="center"/>
    </xf>
    <xf numFmtId="0" fontId="7" fillId="15" borderId="0" xfId="0" applyFont="1" applyFill="1" applyAlignment="1">
      <alignment horizontal="center" vertical="center"/>
    </xf>
    <xf numFmtId="0" fontId="10" fillId="10" borderId="0" xfId="0" applyFont="1" applyFill="1" applyAlignment="1">
      <alignment horizontal="center"/>
    </xf>
    <xf numFmtId="0" fontId="10" fillId="12" borderId="0" xfId="0" applyFont="1" applyFill="1" applyAlignment="1">
      <alignment horizontal="center"/>
    </xf>
    <xf numFmtId="0" fontId="10" fillId="11" borderId="0" xfId="0" applyFont="1" applyFill="1" applyAlignment="1">
      <alignment horizontal="center"/>
    </xf>
    <xf numFmtId="0" fontId="10" fillId="9" borderId="0" xfId="0" applyFont="1" applyFill="1" applyAlignment="1">
      <alignment horizontal="center"/>
    </xf>
    <xf numFmtId="0" fontId="10" fillId="14" borderId="0" xfId="0" applyFont="1" applyFill="1" applyAlignment="1">
      <alignment horizontal="center"/>
    </xf>
    <xf numFmtId="0" fontId="7" fillId="16" borderId="13" xfId="0" applyFont="1" applyFill="1" applyBorder="1" applyAlignment="1">
      <alignment horizontal="center" vertical="center"/>
    </xf>
    <xf numFmtId="0" fontId="7" fillId="16" borderId="0" xfId="0" applyFont="1" applyFill="1" applyAlignment="1">
      <alignment horizontal="center" vertical="center"/>
    </xf>
    <xf numFmtId="0" fontId="10" fillId="18" borderId="0" xfId="0" applyFont="1" applyFill="1" applyAlignment="1">
      <alignment horizontal="center" vertical="center"/>
    </xf>
    <xf numFmtId="0" fontId="13" fillId="19" borderId="0" xfId="0" applyFont="1" applyFill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1" xfId="0" applyFont="1" applyFill="1" applyBorder="1" applyAlignment="1">
      <alignment horizontal="center" vertical="center"/>
    </xf>
    <xf numFmtId="0" fontId="11" fillId="25" borderId="7" xfId="0" applyFont="1" applyFill="1" applyBorder="1" applyAlignment="1">
      <alignment horizontal="center" vertical="center"/>
    </xf>
    <xf numFmtId="0" fontId="11" fillId="25" borderId="11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24" borderId="1" xfId="0" applyFont="1" applyFill="1" applyBorder="1" applyAlignment="1">
      <alignment horizontal="center" vertical="center" wrapText="1"/>
    </xf>
    <xf numFmtId="0" fontId="1" fillId="20" borderId="13" xfId="0" applyFont="1" applyFill="1" applyBorder="1" applyAlignment="1">
      <alignment horizontal="center" vertical="center"/>
    </xf>
    <xf numFmtId="0" fontId="1" fillId="20" borderId="0" xfId="0" applyFont="1" applyFill="1" applyAlignment="1">
      <alignment horizontal="center" vertical="center"/>
    </xf>
    <xf numFmtId="0" fontId="1" fillId="20" borderId="14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7" fillId="0" borderId="21" xfId="0" applyFont="1" applyBorder="1" applyAlignment="1">
      <alignment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9" fillId="10" borderId="0" xfId="0" applyFont="1" applyFill="1" applyAlignment="1">
      <alignment horizontal="center"/>
    </xf>
    <xf numFmtId="0" fontId="9" fillId="12" borderId="0" xfId="0" applyFont="1" applyFill="1" applyAlignment="1">
      <alignment horizontal="center"/>
    </xf>
    <xf numFmtId="0" fontId="9" fillId="11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FEDFA"/>
      <color rgb="FFB70A14"/>
      <color rgb="FFEB71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195405</xdr:colOff>
      <xdr:row>90</xdr:row>
      <xdr:rowOff>22224</xdr:rowOff>
    </xdr:from>
    <xdr:to>
      <xdr:col>62</xdr:col>
      <xdr:colOff>177576</xdr:colOff>
      <xdr:row>144</xdr:row>
      <xdr:rowOff>20542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01BB43-AE7D-43E1-A219-FE87D0402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8055" y="16605249"/>
          <a:ext cx="21213396" cy="10285318"/>
        </a:xfrm>
        <a:prstGeom prst="rect">
          <a:avLst/>
        </a:prstGeom>
      </xdr:spPr>
    </xdr:pic>
    <xdr:clientData/>
  </xdr:twoCellAnchor>
  <xdr:oneCellAnchor>
    <xdr:from>
      <xdr:col>30</xdr:col>
      <xdr:colOff>293349</xdr:colOff>
      <xdr:row>0</xdr:row>
      <xdr:rowOff>10289</xdr:rowOff>
    </xdr:from>
    <xdr:ext cx="1537665" cy="468013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5372457-B412-430B-8E0D-94112EB2F458}"/>
            </a:ext>
            <a:ext uri="{147F2762-F138-4A5C-976F-8EAC2B608ADB}">
              <a16:predDERef xmlns:a16="http://schemas.microsoft.com/office/drawing/2014/main" pred="{B301BB43-AE7D-43E1-A219-FE87D0402AC2}"/>
            </a:ext>
          </a:extLst>
        </xdr:cNvPr>
        <xdr:cNvSpPr/>
      </xdr:nvSpPr>
      <xdr:spPr>
        <a:xfrm>
          <a:off x="11151849" y="10289"/>
          <a:ext cx="1537665" cy="46801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chemeClr val="bg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26th Street</a:t>
          </a:r>
        </a:p>
      </xdr:txBody>
    </xdr:sp>
    <xdr:clientData/>
  </xdr:oneCellAnchor>
  <xdr:oneCellAnchor>
    <xdr:from>
      <xdr:col>0</xdr:col>
      <xdr:colOff>22302</xdr:colOff>
      <xdr:row>12</xdr:row>
      <xdr:rowOff>55119</xdr:rowOff>
    </xdr:from>
    <xdr:ext cx="468013" cy="1606787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95D1FB5-9CAE-4415-B037-E9423AE38263}"/>
            </a:ext>
            <a:ext uri="{147F2762-F138-4A5C-976F-8EAC2B608ADB}">
              <a16:predDERef xmlns:a16="http://schemas.microsoft.com/office/drawing/2014/main" pred="{65372457-B412-430B-8E0D-94112EB2F458}"/>
            </a:ext>
          </a:extLst>
        </xdr:cNvPr>
        <xdr:cNvSpPr/>
      </xdr:nvSpPr>
      <xdr:spPr>
        <a:xfrm rot="16200000">
          <a:off x="-547085" y="2862881"/>
          <a:ext cx="1606787" cy="46801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chemeClr val="bg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5th Avenue</a:t>
          </a:r>
        </a:p>
      </xdr:txBody>
    </xdr:sp>
    <xdr:clientData/>
  </xdr:oneCellAnchor>
  <xdr:oneCellAnchor>
    <xdr:from>
      <xdr:col>31</xdr:col>
      <xdr:colOff>142191</xdr:colOff>
      <xdr:row>39</xdr:row>
      <xdr:rowOff>81871</xdr:rowOff>
    </xdr:from>
    <xdr:ext cx="1290418" cy="468013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99B2752D-02E1-4F83-812F-AC6B5B7FA2DF}"/>
            </a:ext>
            <a:ext uri="{147F2762-F138-4A5C-976F-8EAC2B608ADB}">
              <a16:predDERef xmlns:a16="http://schemas.microsoft.com/office/drawing/2014/main" pred="{C95D1FB5-9CAE-4415-B037-E9423AE38263}"/>
            </a:ext>
          </a:extLst>
        </xdr:cNvPr>
        <xdr:cNvSpPr/>
      </xdr:nvSpPr>
      <xdr:spPr>
        <a:xfrm>
          <a:off x="11315016" y="7406596"/>
          <a:ext cx="1290418" cy="46801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chemeClr val="bg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28 Street</a:t>
          </a:r>
        </a:p>
      </xdr:txBody>
    </xdr:sp>
    <xdr:clientData/>
  </xdr:oneCellAnchor>
  <xdr:oneCellAnchor>
    <xdr:from>
      <xdr:col>80</xdr:col>
      <xdr:colOff>174704</xdr:colOff>
      <xdr:row>16</xdr:row>
      <xdr:rowOff>120856</xdr:rowOff>
    </xdr:from>
    <xdr:ext cx="468013" cy="1549207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D03408B-44F6-4608-BFF6-30176A82DFAC}"/>
            </a:ext>
            <a:ext uri="{147F2762-F138-4A5C-976F-8EAC2B608ADB}">
              <a16:predDERef xmlns:a16="http://schemas.microsoft.com/office/drawing/2014/main" pred="{99B2752D-02E1-4F83-812F-AC6B5B7FA2DF}"/>
            </a:ext>
          </a:extLst>
        </xdr:cNvPr>
        <xdr:cNvSpPr/>
      </xdr:nvSpPr>
      <xdr:spPr>
        <a:xfrm rot="16200000">
          <a:off x="26094557" y="3642778"/>
          <a:ext cx="1549207" cy="46801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chemeClr val="bg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4th Avenue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195405</xdr:colOff>
      <xdr:row>89</xdr:row>
      <xdr:rowOff>22224</xdr:rowOff>
    </xdr:from>
    <xdr:to>
      <xdr:col>62</xdr:col>
      <xdr:colOff>177576</xdr:colOff>
      <xdr:row>143</xdr:row>
      <xdr:rowOff>20542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5BD064-4A20-48AE-9951-0B151190A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8055" y="19005549"/>
          <a:ext cx="21213396" cy="10285318"/>
        </a:xfrm>
        <a:prstGeom prst="rect">
          <a:avLst/>
        </a:prstGeom>
      </xdr:spPr>
    </xdr:pic>
    <xdr:clientData/>
  </xdr:twoCellAnchor>
  <xdr:twoCellAnchor>
    <xdr:from>
      <xdr:col>30</xdr:col>
      <xdr:colOff>293349</xdr:colOff>
      <xdr:row>0</xdr:row>
      <xdr:rowOff>10289</xdr:rowOff>
    </xdr:from>
    <xdr:to>
      <xdr:col>33</xdr:col>
      <xdr:colOff>335589</xdr:colOff>
      <xdr:row>2</xdr:row>
      <xdr:rowOff>97302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7AFEF33-258C-4AA2-8E88-4A55D8A21436}"/>
            </a:ext>
            <a:ext uri="{147F2762-F138-4A5C-976F-8EAC2B608ADB}">
              <a16:predDERef xmlns:a16="http://schemas.microsoft.com/office/drawing/2014/main" pred="{105BD064-4A20-48AE-9951-0B151190A1C8}"/>
            </a:ext>
          </a:extLst>
        </xdr:cNvPr>
        <xdr:cNvSpPr/>
      </xdr:nvSpPr>
      <xdr:spPr>
        <a:xfrm>
          <a:off x="12685374" y="10289"/>
          <a:ext cx="1537665" cy="46801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2400" b="0" cap="none" spc="0">
              <a:ln w="0"/>
              <a:solidFill>
                <a:schemeClr val="bg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26th Street</a:t>
          </a:r>
        </a:p>
      </xdr:txBody>
    </xdr:sp>
    <xdr:clientData/>
  </xdr:twoCellAnchor>
  <xdr:twoCellAnchor>
    <xdr:from>
      <xdr:col>0</xdr:col>
      <xdr:colOff>22302</xdr:colOff>
      <xdr:row>12</xdr:row>
      <xdr:rowOff>55119</xdr:rowOff>
    </xdr:from>
    <xdr:to>
      <xdr:col>1</xdr:col>
      <xdr:colOff>290290</xdr:colOff>
      <xdr:row>20</xdr:row>
      <xdr:rowOff>156956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D4B198F-EBDC-4AF5-832E-1422B4EA827B}"/>
            </a:ext>
            <a:ext uri="{147F2762-F138-4A5C-976F-8EAC2B608ADB}">
              <a16:predDERef xmlns:a16="http://schemas.microsoft.com/office/drawing/2014/main" pred="{47AFEF33-258C-4AA2-8E88-4A55D8A21436}"/>
            </a:ext>
          </a:extLst>
        </xdr:cNvPr>
        <xdr:cNvSpPr/>
      </xdr:nvSpPr>
      <xdr:spPr>
        <a:xfrm rot="16200000">
          <a:off x="-547085" y="3139106"/>
          <a:ext cx="1606787" cy="46801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2400" b="0" cap="none" spc="0">
              <a:ln w="0"/>
              <a:solidFill>
                <a:schemeClr val="bg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5th Avenue</a:t>
          </a:r>
        </a:p>
      </xdr:txBody>
    </xdr:sp>
    <xdr:clientData/>
  </xdr:twoCellAnchor>
  <xdr:twoCellAnchor>
    <xdr:from>
      <xdr:col>31</xdr:col>
      <xdr:colOff>142191</xdr:colOff>
      <xdr:row>39</xdr:row>
      <xdr:rowOff>81871</xdr:rowOff>
    </xdr:from>
    <xdr:to>
      <xdr:col>33</xdr:col>
      <xdr:colOff>251509</xdr:colOff>
      <xdr:row>41</xdr:row>
      <xdr:rowOff>168884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DFC28AA-603B-4D3E-9BCD-DA151C26A7D9}"/>
            </a:ext>
            <a:ext uri="{147F2762-F138-4A5C-976F-8EAC2B608ADB}">
              <a16:predDERef xmlns:a16="http://schemas.microsoft.com/office/drawing/2014/main" pred="{2D4B198F-EBDC-4AF5-832E-1422B4EA827B}"/>
            </a:ext>
          </a:extLst>
        </xdr:cNvPr>
        <xdr:cNvSpPr/>
      </xdr:nvSpPr>
      <xdr:spPr>
        <a:xfrm>
          <a:off x="12848541" y="7682821"/>
          <a:ext cx="1290418" cy="46801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2400" b="0" cap="none" spc="0">
              <a:ln w="0"/>
              <a:solidFill>
                <a:schemeClr val="bg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28 Street</a:t>
          </a:r>
        </a:p>
      </xdr:txBody>
    </xdr:sp>
    <xdr:clientData/>
  </xdr:twoCellAnchor>
  <xdr:twoCellAnchor>
    <xdr:from>
      <xdr:col>80</xdr:col>
      <xdr:colOff>174704</xdr:colOff>
      <xdr:row>16</xdr:row>
      <xdr:rowOff>120856</xdr:rowOff>
    </xdr:from>
    <xdr:to>
      <xdr:col>81</xdr:col>
      <xdr:colOff>61692</xdr:colOff>
      <xdr:row>24</xdr:row>
      <xdr:rowOff>165113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765E4B4-FCBF-49E6-AA54-E91D9B02F073}"/>
            </a:ext>
            <a:ext uri="{147F2762-F138-4A5C-976F-8EAC2B608ADB}">
              <a16:predDERef xmlns:a16="http://schemas.microsoft.com/office/drawing/2014/main" pred="{8DFC28AA-603B-4D3E-9BCD-DA151C26A7D9}"/>
            </a:ext>
          </a:extLst>
        </xdr:cNvPr>
        <xdr:cNvSpPr/>
      </xdr:nvSpPr>
      <xdr:spPr>
        <a:xfrm rot="16200000">
          <a:off x="28847282" y="3919003"/>
          <a:ext cx="1549207" cy="46801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2400" b="0" cap="none" spc="0">
              <a:ln w="0"/>
              <a:solidFill>
                <a:schemeClr val="bg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4th Avenue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195405</xdr:colOff>
      <xdr:row>84</xdr:row>
      <xdr:rowOff>22224</xdr:rowOff>
    </xdr:from>
    <xdr:to>
      <xdr:col>71</xdr:col>
      <xdr:colOff>15651</xdr:colOff>
      <xdr:row>138</xdr:row>
      <xdr:rowOff>20542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BC0C88B4-8A02-4772-9945-849ADD9AC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9355" y="13290549"/>
          <a:ext cx="21213396" cy="10285318"/>
        </a:xfrm>
        <a:prstGeom prst="rect">
          <a:avLst/>
        </a:prstGeom>
      </xdr:spPr>
    </xdr:pic>
    <xdr:clientData/>
  </xdr:twoCellAnchor>
  <xdr:oneCellAnchor>
    <xdr:from>
      <xdr:col>30</xdr:col>
      <xdr:colOff>293349</xdr:colOff>
      <xdr:row>0</xdr:row>
      <xdr:rowOff>10289</xdr:rowOff>
    </xdr:from>
    <xdr:ext cx="1537665" cy="468013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0777107-9FDB-4F1C-A2AD-D77FC3827901}"/>
            </a:ext>
            <a:ext uri="{147F2762-F138-4A5C-976F-8EAC2B608ADB}">
              <a16:predDERef xmlns:a16="http://schemas.microsoft.com/office/drawing/2014/main" pred="{BC0C88B4-8A02-4772-9945-849ADD9AC65C}"/>
            </a:ext>
          </a:extLst>
        </xdr:cNvPr>
        <xdr:cNvSpPr/>
      </xdr:nvSpPr>
      <xdr:spPr>
        <a:xfrm>
          <a:off x="9751674" y="10289"/>
          <a:ext cx="1537665" cy="46801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chemeClr val="bg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26th Street</a:t>
          </a:r>
        </a:p>
      </xdr:txBody>
    </xdr:sp>
    <xdr:clientData/>
  </xdr:oneCellAnchor>
  <xdr:oneCellAnchor>
    <xdr:from>
      <xdr:col>0</xdr:col>
      <xdr:colOff>22302</xdr:colOff>
      <xdr:row>12</xdr:row>
      <xdr:rowOff>55119</xdr:rowOff>
    </xdr:from>
    <xdr:ext cx="468013" cy="1606787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243AC44-46E9-4BA2-B629-CC4B0C54482A}"/>
            </a:ext>
            <a:ext uri="{147F2762-F138-4A5C-976F-8EAC2B608ADB}">
              <a16:predDERef xmlns:a16="http://schemas.microsoft.com/office/drawing/2014/main" pred="{30777107-9FDB-4F1C-A2AD-D77FC3827901}"/>
            </a:ext>
          </a:extLst>
        </xdr:cNvPr>
        <xdr:cNvSpPr/>
      </xdr:nvSpPr>
      <xdr:spPr>
        <a:xfrm rot="16200000">
          <a:off x="-547085" y="2767631"/>
          <a:ext cx="1606787" cy="46801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chemeClr val="bg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5th Avenue</a:t>
          </a:r>
        </a:p>
      </xdr:txBody>
    </xdr:sp>
    <xdr:clientData/>
  </xdr:oneCellAnchor>
  <xdr:oneCellAnchor>
    <xdr:from>
      <xdr:col>31</xdr:col>
      <xdr:colOff>142191</xdr:colOff>
      <xdr:row>39</xdr:row>
      <xdr:rowOff>81871</xdr:rowOff>
    </xdr:from>
    <xdr:ext cx="1290418" cy="468013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E546FE0-75F5-4BAD-84ED-F2B86A81678C}"/>
            </a:ext>
            <a:ext uri="{147F2762-F138-4A5C-976F-8EAC2B608ADB}">
              <a16:predDERef xmlns:a16="http://schemas.microsoft.com/office/drawing/2014/main" pred="{A243AC44-46E9-4BA2-B629-CC4B0C54482A}"/>
            </a:ext>
          </a:extLst>
        </xdr:cNvPr>
        <xdr:cNvSpPr/>
      </xdr:nvSpPr>
      <xdr:spPr>
        <a:xfrm>
          <a:off x="9914841" y="6949396"/>
          <a:ext cx="1290418" cy="46801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chemeClr val="bg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28 Street</a:t>
          </a:r>
        </a:p>
      </xdr:txBody>
    </xdr:sp>
    <xdr:clientData/>
  </xdr:oneCellAnchor>
  <xdr:oneCellAnchor>
    <xdr:from>
      <xdr:col>80</xdr:col>
      <xdr:colOff>174704</xdr:colOff>
      <xdr:row>16</xdr:row>
      <xdr:rowOff>120856</xdr:rowOff>
    </xdr:from>
    <xdr:ext cx="468013" cy="1549207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BFDAF7C7-764F-4A0A-891F-1177FC8C038A}"/>
            </a:ext>
            <a:ext uri="{147F2762-F138-4A5C-976F-8EAC2B608ADB}">
              <a16:predDERef xmlns:a16="http://schemas.microsoft.com/office/drawing/2014/main" pred="{DE546FE0-75F5-4BAD-84ED-F2B86A81678C}"/>
            </a:ext>
          </a:extLst>
        </xdr:cNvPr>
        <xdr:cNvSpPr/>
      </xdr:nvSpPr>
      <xdr:spPr>
        <a:xfrm rot="16200000">
          <a:off x="24694382" y="3490378"/>
          <a:ext cx="1549207" cy="46801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2400" b="0" cap="none" spc="0">
              <a:ln w="0"/>
              <a:solidFill>
                <a:schemeClr val="bg2">
                  <a:lumMod val="7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4th Avenue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armelita Cruz (AC Manila)" id="{8765AD6F-06AC-4A84-935A-6A7892B62A62}" userId="carmelita.cruz@pwc.com" providerId="PeoplePicker"/>
  <person displayName="Bianca Ganzon (AC Manila)" id="{FA6B4ED2-6B66-4672-9C4C-417281A54493}" userId="S::bianca.ganzon@pwc.com::d0784a14-c8b3-4a1d-ba7f-f7b230138ff6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7.451903703703" createdVersion="8" refreshedVersion="8" minRefreshableVersion="3" recordCount="579" xr:uid="{DD28CCC9-4285-4ED6-9E5F-B60DECDB5AD8}">
  <cacheSource type="worksheet">
    <worksheetSource ref="A1:B1048576" sheet="Sheet2"/>
  </cacheSource>
  <cacheFields count="2">
    <cacheField name="Name " numFmtId="0">
      <sharedItems containsBlank="1"/>
    </cacheField>
    <cacheField name="Sub-Cluster" numFmtId="0">
      <sharedItems containsBlank="1" count="33">
        <s v="HRMS"/>
        <s v="App Mod &amp; Dev"/>
        <s v="CDTR - MS"/>
        <s v="SAP"/>
        <s v="Oracle"/>
        <s v="Management"/>
        <s v="Guidewire"/>
        <s v="MS - SAP"/>
        <s v="Salesforce"/>
        <s v="MS - Oracle"/>
        <s v="FMS"/>
        <s v="Business Services"/>
        <s v="Digital Engineering &amp; Analytics"/>
        <s v="Cloud &amp; Infra Ops"/>
        <s v="CEDA MS"/>
        <s v="CEDA"/>
        <s v="ERCS"/>
        <s v="CSX MS - NZ"/>
        <s v="CEDA - DE&amp;A"/>
        <s v="CEDA - AppMod"/>
        <s v="DCM - AES SAP"/>
        <s v="R&amp;R - ERCS"/>
        <s v="DCM - Core SAP"/>
        <s v="CSX - AES Salesforce"/>
        <s v="BSCO - RCMS"/>
        <s v="DCM - AES Oracle"/>
        <s v="CEDA - TMS"/>
        <s v="National - Risk"/>
        <s v="CSX - Salesforce Core"/>
        <s v="DCM - Core Oracle"/>
        <s v="BSCO - PCOT Guidewire"/>
        <s v="DCM - FM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9">
  <r>
    <s v="Amabelle Batu"/>
    <x v="0"/>
  </r>
  <r>
    <s v="Clifford Espinosa"/>
    <x v="1"/>
  </r>
  <r>
    <s v="Krystel Ortiguero"/>
    <x v="1"/>
  </r>
  <r>
    <s v="Jaypee Abad"/>
    <x v="2"/>
  </r>
  <r>
    <s v="Rhon Sardiñola"/>
    <x v="2"/>
  </r>
  <r>
    <s v="Athan Isidoro"/>
    <x v="2"/>
  </r>
  <r>
    <s v="Lloyd Burgos"/>
    <x v="3"/>
  </r>
  <r>
    <s v="Alvin John Margallo"/>
    <x v="4"/>
  </r>
  <r>
    <s v="Miguel Lorenzo Calo"/>
    <x v="3"/>
  </r>
  <r>
    <s v="Arianne Domingo"/>
    <x v="4"/>
  </r>
  <r>
    <s v="Andro Ray San Juan"/>
    <x v="3"/>
  </r>
  <r>
    <s v="Ma. Sheila Victorina Cayetano"/>
    <x v="5"/>
  </r>
  <r>
    <s v="Aaron Leus Baquiano"/>
    <x v="4"/>
  </r>
  <r>
    <s v="Ira King Libores"/>
    <x v="4"/>
  </r>
  <r>
    <s v="Toby Tobias"/>
    <x v="3"/>
  </r>
  <r>
    <s v="Alaiza Zyrelle Aala"/>
    <x v="4"/>
  </r>
  <r>
    <s v="Kriza Joy Calingasan"/>
    <x v="4"/>
  </r>
  <r>
    <s v="Christian Edradan"/>
    <x v="4"/>
  </r>
  <r>
    <s v="Angielika Jane Inso"/>
    <x v="6"/>
  </r>
  <r>
    <s v="Kevin Nuesca"/>
    <x v="4"/>
  </r>
  <r>
    <s v="Ryan Christian Simbulan"/>
    <x v="6"/>
  </r>
  <r>
    <s v="Vergeth De Guzman"/>
    <x v="6"/>
  </r>
  <r>
    <s v="Jonathan Italia"/>
    <x v="6"/>
  </r>
  <r>
    <s v="Leo Angelo Laude"/>
    <x v="6"/>
  </r>
  <r>
    <s v="Joeban Manguerra"/>
    <x v="6"/>
  </r>
  <r>
    <s v="John Nicholas Moreno"/>
    <x v="4"/>
  </r>
  <r>
    <s v="Harold Rugay"/>
    <x v="6"/>
  </r>
  <r>
    <s v="Norshelle Bautista"/>
    <x v="4"/>
  </r>
  <r>
    <s v="John Joseph Enriquez"/>
    <x v="6"/>
  </r>
  <r>
    <s v="Tiffany Aethyl Gujol"/>
    <x v="6"/>
  </r>
  <r>
    <s v="Jennedie Rojo"/>
    <x v="6"/>
  </r>
  <r>
    <s v="Noreen Orillaza"/>
    <x v="3"/>
  </r>
  <r>
    <s v="Don Patrick Pepito"/>
    <x v="6"/>
  </r>
  <r>
    <s v="Ma. Angela Khristine Jornales"/>
    <x v="3"/>
  </r>
  <r>
    <s v="Juan Carlo Culibra"/>
    <x v="4"/>
  </r>
  <r>
    <s v="Catherine Cueto"/>
    <x v="4"/>
  </r>
  <r>
    <s v="Mark Tandang"/>
    <x v="4"/>
  </r>
  <r>
    <s v="Pedro Eddie Reyes"/>
    <x v="4"/>
  </r>
  <r>
    <s v="Prince Jay Em Esteves"/>
    <x v="4"/>
  </r>
  <r>
    <s v="Jean Loren Tagala"/>
    <x v="4"/>
  </r>
  <r>
    <s v="Ruby Docot"/>
    <x v="4"/>
  </r>
  <r>
    <s v="Brylle Mutia"/>
    <x v="4"/>
  </r>
  <r>
    <s v="Nelmar Valdez"/>
    <x v="4"/>
  </r>
  <r>
    <s v="Kristyl Angela Labiano"/>
    <x v="4"/>
  </r>
  <r>
    <s v="Roan Jane Francisco"/>
    <x v="3"/>
  </r>
  <r>
    <s v="Apple Caron"/>
    <x v="7"/>
  </r>
  <r>
    <s v="Rizza Berba"/>
    <x v="3"/>
  </r>
  <r>
    <s v="Lady Airel Pacanza"/>
    <x v="4"/>
  </r>
  <r>
    <s v="Roneth Austria"/>
    <x v="3"/>
  </r>
  <r>
    <s v="Sheena Bañares"/>
    <x v="4"/>
  </r>
  <r>
    <s v="Dianne Natividad"/>
    <x v="4"/>
  </r>
  <r>
    <s v="John Reinier Ambon"/>
    <x v="6"/>
  </r>
  <r>
    <s v="Elaiza Armero"/>
    <x v="4"/>
  </r>
  <r>
    <s v="Camille Joy Esteban"/>
    <x v="4"/>
  </r>
  <r>
    <s v="Krizia Ysabel Carluen"/>
    <x v="6"/>
  </r>
  <r>
    <s v="Shania Regine Calipay"/>
    <x v="6"/>
  </r>
  <r>
    <s v="Martin Ojeda"/>
    <x v="6"/>
  </r>
  <r>
    <s v="Rujen Calvin Malimban"/>
    <x v="6"/>
  </r>
  <r>
    <s v="April Joy Sulapas"/>
    <x v="4"/>
  </r>
  <r>
    <s v="Louise Jake Tria"/>
    <x v="6"/>
  </r>
  <r>
    <s v="Maria Theresa Viscayda"/>
    <x v="4"/>
  </r>
  <r>
    <s v="Baby Grace Martin"/>
    <x v="4"/>
  </r>
  <r>
    <s v="Vanessa Chua"/>
    <x v="3"/>
  </r>
  <r>
    <s v="Gerard Mamonong"/>
    <x v="3"/>
  </r>
  <r>
    <s v="Mary Rose Jimenez"/>
    <x v="3"/>
  </r>
  <r>
    <s v="Rhona Villanueva"/>
    <x v="3"/>
  </r>
  <r>
    <s v="Carl Villanueva"/>
    <x v="6"/>
  </r>
  <r>
    <s v="Alecxz Celis"/>
    <x v="6"/>
  </r>
  <r>
    <s v="Jamin Aguilar"/>
    <x v="6"/>
  </r>
  <r>
    <s v="Rochelle Opulencia"/>
    <x v="3"/>
  </r>
  <r>
    <s v="Mica Uriarte"/>
    <x v="3"/>
  </r>
  <r>
    <s v="Juffy Byron Vega"/>
    <x v="3"/>
  </r>
  <r>
    <s v="Junnel Palaña"/>
    <x v="6"/>
  </r>
  <r>
    <s v="Nathaniel Paolo Vargas"/>
    <x v="3"/>
  </r>
  <r>
    <s v="Darien Soria"/>
    <x v="3"/>
  </r>
  <r>
    <s v="Maxim Vincent Arradaza"/>
    <x v="3"/>
  </r>
  <r>
    <s v="Arthur Pascaran Jr."/>
    <x v="3"/>
  </r>
  <r>
    <s v="Neil Jonathan Trinidad"/>
    <x v="6"/>
  </r>
  <r>
    <s v="Sam Escala"/>
    <x v="3"/>
  </r>
  <r>
    <s v="Erwin Purpora"/>
    <x v="6"/>
  </r>
  <r>
    <s v="JAYVEE GERONIMO"/>
    <x v="6"/>
  </r>
  <r>
    <s v="Vincent Carlo Santos"/>
    <x v="6"/>
  </r>
  <r>
    <s v="Joemer Trinidad"/>
    <x v="3"/>
  </r>
  <r>
    <s v="Niño Ray Guinto"/>
    <x v="3"/>
  </r>
  <r>
    <s v="Amos Saputalo"/>
    <x v="4"/>
  </r>
  <r>
    <s v="Rey Mark Bautista"/>
    <x v="6"/>
  </r>
  <r>
    <s v="Jin Silvano"/>
    <x v="3"/>
  </r>
  <r>
    <s v="Jehad Cemanes"/>
    <x v="6"/>
  </r>
  <r>
    <s v="Mark Joseph Bartolome"/>
    <x v="3"/>
  </r>
  <r>
    <s v="Ryo Delos Reyes"/>
    <x v="6"/>
  </r>
  <r>
    <s v="April Mae Hombrebueno"/>
    <x v="3"/>
  </r>
  <r>
    <s v="Luis Fernand Mallari"/>
    <x v="4"/>
  </r>
  <r>
    <s v="Fatima Claire Reyes"/>
    <x v="4"/>
  </r>
  <r>
    <s v="Hazel Ribbons De Vera"/>
    <x v="6"/>
  </r>
  <r>
    <s v="Christian Benneth Soliven"/>
    <x v="6"/>
  </r>
  <r>
    <s v="Czarina Louise Morales"/>
    <x v="4"/>
  </r>
  <r>
    <s v="Martin Briones"/>
    <x v="6"/>
  </r>
  <r>
    <s v="Jack Kenneth Cutiongco"/>
    <x v="6"/>
  </r>
  <r>
    <s v="Ryan Lopez"/>
    <x v="3"/>
  </r>
  <r>
    <s v="Jas Kristian Magno"/>
    <x v="3"/>
  </r>
  <r>
    <s v="Andrian Glenn Agnas"/>
    <x v="4"/>
  </r>
  <r>
    <s v="Tricia May Pastolero"/>
    <x v="3"/>
  </r>
  <r>
    <s v="Joi Tobias"/>
    <x v="3"/>
  </r>
  <r>
    <s v="Dandy Collera"/>
    <x v="6"/>
  </r>
  <r>
    <s v="Wilfredo Coronel"/>
    <x v="3"/>
  </r>
  <r>
    <s v="Jerjou Ivan Castañares"/>
    <x v="4"/>
  </r>
  <r>
    <s v="Jay Lord Mangila"/>
    <x v="3"/>
  </r>
  <r>
    <s v="Anton Riego Silva"/>
    <x v="3"/>
  </r>
  <r>
    <s v="Joel Langoyan"/>
    <x v="3"/>
  </r>
  <r>
    <s v="Joyce Ann Mundo"/>
    <x v="6"/>
  </r>
  <r>
    <s v="Almira Pusing"/>
    <x v="3"/>
  </r>
  <r>
    <s v="Czion Alinday"/>
    <x v="3"/>
  </r>
  <r>
    <s v="Gabriel Dela Cruz"/>
    <x v="3"/>
  </r>
  <r>
    <s v="Kim Nelson Memoranda"/>
    <x v="3"/>
  </r>
  <r>
    <s v="Tupe Dacuba"/>
    <x v="4"/>
  </r>
  <r>
    <s v="Winhowell Cylde Ibarra"/>
    <x v="6"/>
  </r>
  <r>
    <s v="Darwin James Marcelo"/>
    <x v="6"/>
  </r>
  <r>
    <s v="Mark Hanniel Vargas"/>
    <x v="6"/>
  </r>
  <r>
    <s v="Jikho Enrique"/>
    <x v="6"/>
  </r>
  <r>
    <s v="Christian Haber"/>
    <x v="6"/>
  </r>
  <r>
    <s v="Jezrah Bollecer"/>
    <x v="4"/>
  </r>
  <r>
    <s v="Iya Erum"/>
    <x v="3"/>
  </r>
  <r>
    <s v="Karl Maximilian Hizo"/>
    <x v="4"/>
  </r>
  <r>
    <s v="Niyoh Edwyn Villanueva"/>
    <x v="8"/>
  </r>
  <r>
    <s v="Brylle Wesley Tolentino"/>
    <x v="4"/>
  </r>
  <r>
    <s v="Joshua Patrick Angeles"/>
    <x v="3"/>
  </r>
  <r>
    <s v="Patricia Anne Velasquez"/>
    <x v="3"/>
  </r>
  <r>
    <s v="Danielle Joy Adlawan"/>
    <x v="4"/>
  </r>
  <r>
    <s v="Jeremiah Dollente"/>
    <x v="3"/>
  </r>
  <r>
    <s v="Lyn Jame Ompad"/>
    <x v="4"/>
  </r>
  <r>
    <s v="Sunray Vincent Gilbero"/>
    <x v="3"/>
  </r>
  <r>
    <s v="Frances Joyce Salen"/>
    <x v="3"/>
  </r>
  <r>
    <s v="Yan Reyes"/>
    <x v="3"/>
  </r>
  <r>
    <s v="Joshua Gonzales"/>
    <x v="4"/>
  </r>
  <r>
    <s v="Rose Arielli Remigio"/>
    <x v="4"/>
  </r>
  <r>
    <s v="Patrick Bernard Santos"/>
    <x v="4"/>
  </r>
  <r>
    <s v="Migz Fernandez"/>
    <x v="3"/>
  </r>
  <r>
    <s v="Nico Rivera"/>
    <x v="3"/>
  </r>
  <r>
    <s v="Kyla Cuaresma"/>
    <x v="4"/>
  </r>
  <r>
    <s v="Jethro Rayray"/>
    <x v="0"/>
  </r>
  <r>
    <s v="Aleah Kathrine Cruz"/>
    <x v="0"/>
  </r>
  <r>
    <s v="Newella Iloma"/>
    <x v="0"/>
  </r>
  <r>
    <s v="Jose Antonio Ordanell"/>
    <x v="0"/>
  </r>
  <r>
    <s v="Melanie Mabida"/>
    <x v="0"/>
  </r>
  <r>
    <s v="Robert Valentin Sy"/>
    <x v="4"/>
  </r>
  <r>
    <s v="Shiela Mae Alon-Alon"/>
    <x v="4"/>
  </r>
  <r>
    <s v="Ren Michael Boniao"/>
    <x v="3"/>
  </r>
  <r>
    <s v="Regine Petallo"/>
    <x v="4"/>
  </r>
  <r>
    <s v="Robilyn Gabor  "/>
    <x v="4"/>
  </r>
  <r>
    <s v="Carlo Gutierrez"/>
    <x v="6"/>
  </r>
  <r>
    <s v="Jan Reimil Cabantog"/>
    <x v="8"/>
  </r>
  <r>
    <s v="Vic Polintang"/>
    <x v="4"/>
  </r>
  <r>
    <s v="Shalemar Marie Bagasina"/>
    <x v="6"/>
  </r>
  <r>
    <s v="Danica Coballes"/>
    <x v="4"/>
  </r>
  <r>
    <s v="Grace Evangelista"/>
    <x v="6"/>
  </r>
  <r>
    <s v="Nhoren Arellano"/>
    <x v="4"/>
  </r>
  <r>
    <s v="Liezel Cruz"/>
    <x v="4"/>
  </r>
  <r>
    <s v="Jocelle Espinosa"/>
    <x v="3"/>
  </r>
  <r>
    <s v="Mel An Nicole Geronimo"/>
    <x v="3"/>
  </r>
  <r>
    <s v="Joman Sacasas"/>
    <x v="3"/>
  </r>
  <r>
    <s v="Raymond Del Rosario"/>
    <x v="4"/>
  </r>
  <r>
    <s v="Selwyn Gerard Suan"/>
    <x v="3"/>
  </r>
  <r>
    <s v="Catherine Joyce Figueroa"/>
    <x v="4"/>
  </r>
  <r>
    <s v="Bea Damasco"/>
    <x v="4"/>
  </r>
  <r>
    <s v="Nikka Guevarra"/>
    <x v="3"/>
  </r>
  <r>
    <s v="Sebastian Pangan"/>
    <x v="3"/>
  </r>
  <r>
    <s v="Nikki Shayne Laurente"/>
    <x v="3"/>
  </r>
  <r>
    <s v="Kimverly Asidao"/>
    <x v="0"/>
  </r>
  <r>
    <s v="Eunice Almira Pineda"/>
    <x v="0"/>
  </r>
  <r>
    <s v="Day Urmeneta"/>
    <x v="4"/>
  </r>
  <r>
    <s v="Didith Deciar"/>
    <x v="4"/>
  </r>
  <r>
    <s v="Calie Gamboa"/>
    <x v="4"/>
  </r>
  <r>
    <s v="John Michael Lugtu"/>
    <x v="0"/>
  </r>
  <r>
    <s v="Maricor Doligol"/>
    <x v="0"/>
  </r>
  <r>
    <s v="Jahzeel Anne Cayabyab"/>
    <x v="0"/>
  </r>
  <r>
    <s v="Jessica Pache"/>
    <x v="0"/>
  </r>
  <r>
    <s v="Jane Rocelle Ronquillo"/>
    <x v="0"/>
  </r>
  <r>
    <s v="Jouie Marie Claire Lopez"/>
    <x v="0"/>
  </r>
  <r>
    <s v="Camille Villanueva"/>
    <x v="0"/>
  </r>
  <r>
    <s v="DAISY PRINCIPE"/>
    <x v="0"/>
  </r>
  <r>
    <s v="Almira Tadem"/>
    <x v="0"/>
  </r>
  <r>
    <s v="Gerard Ephraim Marquez"/>
    <x v="0"/>
  </r>
  <r>
    <s v="April Rose Garay"/>
    <x v="0"/>
  </r>
  <r>
    <s v="Erika Aprille Cristobal"/>
    <x v="0"/>
  </r>
  <r>
    <s v="Marian Jasper Garcia"/>
    <x v="0"/>
  </r>
  <r>
    <s v="Suzette Dela Cruz"/>
    <x v="0"/>
  </r>
  <r>
    <s v="Joelyn Perez"/>
    <x v="0"/>
  </r>
  <r>
    <s v="Marycar Villanueva"/>
    <x v="0"/>
  </r>
  <r>
    <s v="Maechelei Subiera"/>
    <x v="0"/>
  </r>
  <r>
    <s v="Glaizel Mae Moico"/>
    <x v="0"/>
  </r>
  <r>
    <s v="Rogie Mosende"/>
    <x v="0"/>
  </r>
  <r>
    <s v="Lyn Lipio"/>
    <x v="0"/>
  </r>
  <r>
    <s v="Hedrick Nicole Amaquin"/>
    <x v="0"/>
  </r>
  <r>
    <s v="Kathleen Pangilinan"/>
    <x v="0"/>
  </r>
  <r>
    <s v="Emma Lumbo"/>
    <x v="0"/>
  </r>
  <r>
    <s v="Kevin John Caluya"/>
    <x v="0"/>
  </r>
  <r>
    <s v="Marby Crisostomo"/>
    <x v="0"/>
  </r>
  <r>
    <s v="Ma. Delyn Coronel"/>
    <x v="0"/>
  </r>
  <r>
    <s v="Maria Elena Rogel"/>
    <x v="0"/>
  </r>
  <r>
    <s v="Najah Cezylia Nicolas"/>
    <x v="0"/>
  </r>
  <r>
    <s v="Hideyuki Centeno"/>
    <x v="0"/>
  </r>
  <r>
    <s v="Trixie Mae Atendido"/>
    <x v="0"/>
  </r>
  <r>
    <s v="Champagne Sabornido"/>
    <x v="0"/>
  </r>
  <r>
    <s v="Joanna Pactol"/>
    <x v="4"/>
  </r>
  <r>
    <s v="Eigel Asinas"/>
    <x v="6"/>
  </r>
  <r>
    <s v="Mae Antoniette Caparas"/>
    <x v="7"/>
  </r>
  <r>
    <s v="Nate Noveno"/>
    <x v="4"/>
  </r>
  <r>
    <s v="Jeoffrey Tan"/>
    <x v="3"/>
  </r>
  <r>
    <s v="Lorraine Fajutagana"/>
    <x v="6"/>
  </r>
  <r>
    <s v="Jason Yusi"/>
    <x v="4"/>
  </r>
  <r>
    <s v="Ian Roxas"/>
    <x v="4"/>
  </r>
  <r>
    <s v="Jaymar Espiritu"/>
    <x v="3"/>
  </r>
  <r>
    <s v="Davidson De Ocampo"/>
    <x v="6"/>
  </r>
  <r>
    <s v="Ryan Catambing"/>
    <x v="6"/>
  </r>
  <r>
    <s v="Ronelle Tuazon"/>
    <x v="6"/>
  </r>
  <r>
    <s v="Tin Reynoso"/>
    <x v="9"/>
  </r>
  <r>
    <s v="Noah Abada"/>
    <x v="3"/>
  </r>
  <r>
    <s v="Jasper Reyes"/>
    <x v="6"/>
  </r>
  <r>
    <s v="Hannah Iris Dela Cerna"/>
    <x v="3"/>
  </r>
  <r>
    <s v="Troby Dela Cruz"/>
    <x v="4"/>
  </r>
  <r>
    <s v="Zcorena Zcheanelle Lim"/>
    <x v="4"/>
  </r>
  <r>
    <s v="Jennifer Leonardo"/>
    <x v="9"/>
  </r>
  <r>
    <s v="Jackie Ong"/>
    <x v="8"/>
  </r>
  <r>
    <s v="Christian Herrera"/>
    <x v="3"/>
  </r>
  <r>
    <s v="Sean Uy"/>
    <x v="3"/>
  </r>
  <r>
    <s v="Peps Pepino"/>
    <x v="4"/>
  </r>
  <r>
    <s v="Joshua Manrique"/>
    <x v="7"/>
  </r>
  <r>
    <s v="Mark Lester Adami"/>
    <x v="3"/>
  </r>
  <r>
    <s v="Kenneth Quiape"/>
    <x v="7"/>
  </r>
  <r>
    <s v="Jemm Verano"/>
    <x v="9"/>
  </r>
  <r>
    <s v="Joaquin Trinidad"/>
    <x v="9"/>
  </r>
  <r>
    <s v="Edna Marie Nasis"/>
    <x v="7"/>
  </r>
  <r>
    <s v="Riel Mendoza"/>
    <x v="6"/>
  </r>
  <r>
    <s v="Wesley Basister"/>
    <x v="9"/>
  </r>
  <r>
    <s v="Ace Sales"/>
    <x v="7"/>
  </r>
  <r>
    <s v="Niks Obmasca"/>
    <x v="9"/>
  </r>
  <r>
    <s v="Ravie Baldueza"/>
    <x v="8"/>
  </r>
  <r>
    <s v="JC Espino"/>
    <x v="8"/>
  </r>
  <r>
    <s v="Arjay Aquino"/>
    <x v="6"/>
  </r>
  <r>
    <s v="Dennis David Senal"/>
    <x v="7"/>
  </r>
  <r>
    <s v="Ken Dela Cruz"/>
    <x v="3"/>
  </r>
  <r>
    <s v="Martin Sinuto"/>
    <x v="9"/>
  </r>
  <r>
    <s v="Evander Villanueva"/>
    <x v="6"/>
  </r>
  <r>
    <s v="Japheth Espia"/>
    <x v="3"/>
  </r>
  <r>
    <s v="Sidney Bellaflor"/>
    <x v="6"/>
  </r>
  <r>
    <s v="Romelyn Quiñonez"/>
    <x v="9"/>
  </r>
  <r>
    <s v="Kathleen Faye Gura"/>
    <x v="3"/>
  </r>
  <r>
    <s v="MJ Nagales"/>
    <x v="9"/>
  </r>
  <r>
    <s v="Gerald Feudo"/>
    <x v="4"/>
  </r>
  <r>
    <s v="LJ Egamino"/>
    <x v="8"/>
  </r>
  <r>
    <s v="Glory Delas Llagas"/>
    <x v="7"/>
  </r>
  <r>
    <s v="Jomari Flores"/>
    <x v="3"/>
  </r>
  <r>
    <s v="Sheryl Decano"/>
    <x v="9"/>
  </r>
  <r>
    <s v="Thomas Gerald Ng"/>
    <x v="7"/>
  </r>
  <r>
    <s v="Joevert Balinbin"/>
    <x v="3"/>
  </r>
  <r>
    <s v="Nan Gim"/>
    <x v="3"/>
  </r>
  <r>
    <s v="Francis Miguel Iguico"/>
    <x v="6"/>
  </r>
  <r>
    <s v="Eusev Miguel Mopera"/>
    <x v="3"/>
  </r>
  <r>
    <s v="John Arthur Panti"/>
    <x v="3"/>
  </r>
  <r>
    <s v="Charity Marie Moneda"/>
    <x v="3"/>
  </r>
  <r>
    <s v="Geenie Rorani Tabao"/>
    <x v="3"/>
  </r>
  <r>
    <s v="Ivy Nacar"/>
    <x v="3"/>
  </r>
  <r>
    <s v="Rhomna Velasquez"/>
    <x v="6"/>
  </r>
  <r>
    <s v="Mervin Sagun"/>
    <x v="3"/>
  </r>
  <r>
    <s v="Ronald Michael Barnachea"/>
    <x v="3"/>
  </r>
  <r>
    <s v="Jash Gabriella Villegas"/>
    <x v="3"/>
  </r>
  <r>
    <s v="Adrian Venzuela"/>
    <x v="3"/>
  </r>
  <r>
    <s v="Jose Miguel Glorioso"/>
    <x v="3"/>
  </r>
  <r>
    <s v="Angeline Torres"/>
    <x v="3"/>
  </r>
  <r>
    <s v="Rose Agtay"/>
    <x v="3"/>
  </r>
  <r>
    <s v="Jolly Gruta"/>
    <x v="4"/>
  </r>
  <r>
    <s v="Kien Villegas"/>
    <x v="6"/>
  </r>
  <r>
    <s v="Maricar Gomez"/>
    <x v="4"/>
  </r>
  <r>
    <s v="Allain Daniel Espina"/>
    <x v="3"/>
  </r>
  <r>
    <s v="Dennis Cinco"/>
    <x v="3"/>
  </r>
  <r>
    <s v="Nikko Nitro"/>
    <x v="3"/>
  </r>
  <r>
    <s v="Danica Endaya"/>
    <x v="3"/>
  </r>
  <r>
    <s v="Thrysha Bandoy"/>
    <x v="3"/>
  </r>
  <r>
    <s v="Patricia Chua"/>
    <x v="3"/>
  </r>
  <r>
    <s v="Jacob Bustamante"/>
    <x v="3"/>
  </r>
  <r>
    <s v="Gillien Hazel Delmonte"/>
    <x v="3"/>
  </r>
  <r>
    <s v="Gericho Jade Nolasco"/>
    <x v="3"/>
  </r>
  <r>
    <s v="Audrey Santiago"/>
    <x v="3"/>
  </r>
  <r>
    <s v="John Dominic Layson"/>
    <x v="3"/>
  </r>
  <r>
    <s v="Loridge Anne Gacho"/>
    <x v="6"/>
  </r>
  <r>
    <s v="David Mateo Lanuza"/>
    <x v="8"/>
  </r>
  <r>
    <s v="Jen Buencamino"/>
    <x v="3"/>
  </r>
  <r>
    <s v="Neil Jeoffrey Quero"/>
    <x v="3"/>
  </r>
  <r>
    <s v="Latrell Sombilon"/>
    <x v="3"/>
  </r>
  <r>
    <s v="Reena Mae Perlas"/>
    <x v="3"/>
  </r>
  <r>
    <s v="Dean Sto. Domingo"/>
    <x v="3"/>
  </r>
  <r>
    <s v="Tina Provido"/>
    <x v="6"/>
  </r>
  <r>
    <s v="Michael Lopez"/>
    <x v="3"/>
  </r>
  <r>
    <s v="Romano Borabo"/>
    <x v="4"/>
  </r>
  <r>
    <s v="Cristine Jane Labayo"/>
    <x v="3"/>
  </r>
  <r>
    <s v="Clarise Carreon"/>
    <x v="1"/>
  </r>
  <r>
    <s v="Debbie Simon"/>
    <x v="3"/>
  </r>
  <r>
    <s v="Jude Mahilum"/>
    <x v="8"/>
  </r>
  <r>
    <s v="DANIEL SALEDIO"/>
    <x v="7"/>
  </r>
  <r>
    <s v="Marc Vincent Eugenio"/>
    <x v="3"/>
  </r>
  <r>
    <s v="Sebastian Temporal"/>
    <x v="6"/>
  </r>
  <r>
    <s v="Art Astley Ortiz"/>
    <x v="10"/>
  </r>
  <r>
    <s v="John Paul Suyat"/>
    <x v="10"/>
  </r>
  <r>
    <s v="Mebiee Santos"/>
    <x v="10"/>
  </r>
  <r>
    <s v="Debby Gregorio-David"/>
    <x v="6"/>
  </r>
  <r>
    <s v="Joshua Dan Regidor"/>
    <x v="1"/>
  </r>
  <r>
    <s v="Renz Manuel"/>
    <x v="7"/>
  </r>
  <r>
    <s v="Ivy Panganiban"/>
    <x v="3"/>
  </r>
  <r>
    <s v="ROY ENCELA"/>
    <x v="6"/>
  </r>
  <r>
    <s v="Pia Olarte"/>
    <x v="11"/>
  </r>
  <r>
    <s v="Alexander Escalante"/>
    <x v="10"/>
  </r>
  <r>
    <s v="Jero Algura"/>
    <x v="3"/>
  </r>
  <r>
    <s v="Miko Anderson Yjares"/>
    <x v="9"/>
  </r>
  <r>
    <s v="Lea Mae Montecastro"/>
    <x v="3"/>
  </r>
  <r>
    <s v="Darwin Herbert Lubas"/>
    <x v="8"/>
  </r>
  <r>
    <s v="Red Estrada"/>
    <x v="3"/>
  </r>
  <r>
    <s v="Gelo Morong"/>
    <x v="3"/>
  </r>
  <r>
    <s v="Edwin Dela Cruz"/>
    <x v="3"/>
  </r>
  <r>
    <s v="Ravie Jane Palabrica"/>
    <x v="10"/>
  </r>
  <r>
    <s v="Arvin Jay Gaa"/>
    <x v="3"/>
  </r>
  <r>
    <s v="Vin Dela Cruz"/>
    <x v="7"/>
  </r>
  <r>
    <s v="Robert Givero"/>
    <x v="10"/>
  </r>
  <r>
    <s v="Chris Sabornido"/>
    <x v="3"/>
  </r>
  <r>
    <s v="Karla Tigue"/>
    <x v="9"/>
  </r>
  <r>
    <s v="Mark Dihiansan"/>
    <x v="3"/>
  </r>
  <r>
    <s v="Myra Perez"/>
    <x v="7"/>
  </r>
  <r>
    <s v="Shiela Monique Fajardo"/>
    <x v="3"/>
  </r>
  <r>
    <s v="Maria Fe Malla"/>
    <x v="10"/>
  </r>
  <r>
    <s v="Zowee De Vera"/>
    <x v="8"/>
  </r>
  <r>
    <s v="Vince Layag"/>
    <x v="3"/>
  </r>
  <r>
    <s v="Francis Kevin Canlas"/>
    <x v="3"/>
  </r>
  <r>
    <s v="Tine Parayno"/>
    <x v="4"/>
  </r>
  <r>
    <s v="Aaron Panganiban"/>
    <x v="3"/>
  </r>
  <r>
    <s v="Klarizza Faylona"/>
    <x v="10"/>
  </r>
  <r>
    <s v="Eric John Sison"/>
    <x v="3"/>
  </r>
  <r>
    <s v="JM Gabison"/>
    <x v="3"/>
  </r>
  <r>
    <s v="Jan Carlo Urminita"/>
    <x v="3"/>
  </r>
  <r>
    <s v="Jan Santos"/>
    <x v="3"/>
  </r>
  <r>
    <s v="Elei Domingo"/>
    <x v="10"/>
  </r>
  <r>
    <s v="Anna Castañeda"/>
    <x v="1"/>
  </r>
  <r>
    <s v="Jovy Gaw"/>
    <x v="3"/>
  </r>
  <r>
    <s v="Mary Grace Caguioa"/>
    <x v="10"/>
  </r>
  <r>
    <s v="Charlene Pangilinan"/>
    <x v="3"/>
  </r>
  <r>
    <s v="Josef Faulmino"/>
    <x v="8"/>
  </r>
  <r>
    <s v="Harold Jimenez"/>
    <x v="3"/>
  </r>
  <r>
    <s v="Ryan Rey Corpin"/>
    <x v="12"/>
  </r>
  <r>
    <s v="Gelo Diaz"/>
    <x v="13"/>
  </r>
  <r>
    <s v="Aryel Benitez"/>
    <x v="1"/>
  </r>
  <r>
    <s v="MARIA JOSSAN INES"/>
    <x v="8"/>
  </r>
  <r>
    <s v="Alexander Verzosa"/>
    <x v="14"/>
  </r>
  <r>
    <s v="Carlo Dimaranan"/>
    <x v="1"/>
  </r>
  <r>
    <s v="Charles Baldemoro"/>
    <x v="7"/>
  </r>
  <r>
    <s v="Ralph Macahiya"/>
    <x v="8"/>
  </r>
  <r>
    <s v="Dheza James"/>
    <x v="3"/>
  </r>
  <r>
    <s v="Jose Mauro Milay"/>
    <x v="8"/>
  </r>
  <r>
    <s v="Mark Jairo Inalvez"/>
    <x v="14"/>
  </r>
  <r>
    <s v="Earl Relucio"/>
    <x v="8"/>
  </r>
  <r>
    <s v="Lewis Conrado Niguidula"/>
    <x v="1"/>
  </r>
  <r>
    <s v="Brian Alba"/>
    <x v="1"/>
  </r>
  <r>
    <s v="Celine Solis"/>
    <x v="8"/>
  </r>
  <r>
    <s v="Mark Allen Daquioag"/>
    <x v="3"/>
  </r>
  <r>
    <s v="Krizelle Calicdan"/>
    <x v="3"/>
  </r>
  <r>
    <s v="Ron Borje"/>
    <x v="8"/>
  </r>
  <r>
    <s v="Erwin Rodriguez"/>
    <x v="4"/>
  </r>
  <r>
    <s v="Chang Tisang"/>
    <x v="15"/>
  </r>
  <r>
    <s v="Irene Corazon Aguilar"/>
    <x v="3"/>
  </r>
  <r>
    <s v="Pam Magnaye"/>
    <x v="3"/>
  </r>
  <r>
    <s v="Den Mercado"/>
    <x v="1"/>
  </r>
  <r>
    <s v="Flo AYALA"/>
    <x v="8"/>
  </r>
  <r>
    <s v="Jon Rivera"/>
    <x v="8"/>
  </r>
  <r>
    <s v="Karla Alejo"/>
    <x v="3"/>
  </r>
  <r>
    <s v="Michael Baloran"/>
    <x v="3"/>
  </r>
  <r>
    <s v="Lyron Kiel Rivera"/>
    <x v="8"/>
  </r>
  <r>
    <s v="Louie Nohay"/>
    <x v="15"/>
  </r>
  <r>
    <s v="Mei Novenario"/>
    <x v="1"/>
  </r>
  <r>
    <s v="Pol Gaida"/>
    <x v="8"/>
  </r>
  <r>
    <s v="Cris Magnaye"/>
    <x v="8"/>
  </r>
  <r>
    <s v="Shuun Mendoza"/>
    <x v="8"/>
  </r>
  <r>
    <s v="Cosmas Millares"/>
    <x v="3"/>
  </r>
  <r>
    <s v="Angela de Guzman"/>
    <x v="8"/>
  </r>
  <r>
    <s v="Ann Nazareno"/>
    <x v="3"/>
  </r>
  <r>
    <s v="Clarissa Ortega"/>
    <x v="8"/>
  </r>
  <r>
    <s v="Walter Borromeo"/>
    <x v="3"/>
  </r>
  <r>
    <s v="Shiela Ramosa"/>
    <x v="3"/>
  </r>
  <r>
    <s v="Adornado Tolledo Jr"/>
    <x v="8"/>
  </r>
  <r>
    <s v="Gelo Macawili"/>
    <x v="8"/>
  </r>
  <r>
    <s v="Shiela Lucido"/>
    <x v="8"/>
  </r>
  <r>
    <s v="Eronna Mae Esmade"/>
    <x v="8"/>
  </r>
  <r>
    <s v="Aina Ner"/>
    <x v="4"/>
  </r>
  <r>
    <s v="Jeannell Casaje"/>
    <x v="8"/>
  </r>
  <r>
    <s v="Keg Miguel Narvas"/>
    <x v="3"/>
  </r>
  <r>
    <s v="Alex Quiroga"/>
    <x v="8"/>
  </r>
  <r>
    <s v="ISH JACINTO"/>
    <x v="8"/>
  </r>
  <r>
    <s v="Marcial III Merluza"/>
    <x v="8"/>
  </r>
  <r>
    <s v="Jhanika Palad"/>
    <x v="8"/>
  </r>
  <r>
    <s v="Marc Atanante"/>
    <x v="15"/>
  </r>
  <r>
    <s v="Karla Africa"/>
    <x v="12"/>
  </r>
  <r>
    <s v="Marinella Buquid"/>
    <x v="8"/>
  </r>
  <r>
    <s v="Grace Nazareno"/>
    <x v="8"/>
  </r>
  <r>
    <s v="Alex Waminal"/>
    <x v="16"/>
  </r>
  <r>
    <s v="Vince Reyes"/>
    <x v="8"/>
  </r>
  <r>
    <s v="Luzel Arsolon  "/>
    <x v="9"/>
  </r>
  <r>
    <s v="Girlee Alvarado"/>
    <x v="8"/>
  </r>
  <r>
    <s v="Charlene Embestro"/>
    <x v="8"/>
  </r>
  <r>
    <s v="Argene Francisco"/>
    <x v="8"/>
  </r>
  <r>
    <s v="Jessie Rivera"/>
    <x v="15"/>
  </r>
  <r>
    <s v="Lynn Aromin"/>
    <x v="15"/>
  </r>
  <r>
    <s v="Al Jemima Agapito"/>
    <x v="8"/>
  </r>
  <r>
    <s v="Mike Garcia"/>
    <x v="15"/>
  </r>
  <r>
    <s v="Garry Penoliar"/>
    <x v="8"/>
  </r>
  <r>
    <s v="Rein Anyayahan"/>
    <x v="8"/>
  </r>
  <r>
    <s v="Vic Bolante"/>
    <x v="17"/>
  </r>
  <r>
    <s v="Kyla Lardizabal"/>
    <x v="16"/>
  </r>
  <r>
    <s v="John Lemuel Parma"/>
    <x v="16"/>
  </r>
  <r>
    <s v="Ken Mabalot"/>
    <x v="16"/>
  </r>
  <r>
    <s v="Drei Palaña"/>
    <x v="2"/>
  </r>
  <r>
    <s v="Franelyn May Abalos"/>
    <x v="7"/>
  </r>
  <r>
    <s v="JK Malabanan"/>
    <x v="8"/>
  </r>
  <r>
    <s v="Dane Cainto"/>
    <x v="8"/>
  </r>
  <r>
    <s v="Abegail Lapuz"/>
    <x v="2"/>
  </r>
  <r>
    <s v="Rose Ann Esquivel"/>
    <x v="2"/>
  </r>
  <r>
    <s v="John Christian Sun"/>
    <x v="2"/>
  </r>
  <r>
    <s v="Felmer Ramos"/>
    <x v="8"/>
  </r>
  <r>
    <s v="Innah Alagao"/>
    <x v="8"/>
  </r>
  <r>
    <s v="Hanz Ong"/>
    <x v="2"/>
  </r>
  <r>
    <s v="Eunice Haide Barrios"/>
    <x v="2"/>
  </r>
  <r>
    <s v="Martin Louie Clemente"/>
    <x v="2"/>
  </r>
  <r>
    <s v="Fred Usero"/>
    <x v="2"/>
  </r>
  <r>
    <s v="Gerlie Santolices"/>
    <x v="2"/>
  </r>
  <r>
    <s v="Bryan Ambida"/>
    <x v="2"/>
  </r>
  <r>
    <s v="Rodolfo II Panlilio"/>
    <x v="2"/>
  </r>
  <r>
    <s v="Christie Cadano"/>
    <x v="3"/>
  </r>
  <r>
    <s v="Jay Lebert Maranan"/>
    <x v="8"/>
  </r>
  <r>
    <s v="John Clinton Layosa"/>
    <x v="8"/>
  </r>
  <r>
    <s v="Phil Mar Celeste"/>
    <x v="8"/>
  </r>
  <r>
    <s v="Jamie Titular"/>
    <x v="4"/>
  </r>
  <r>
    <s v="Angelo Rivera"/>
    <x v="7"/>
  </r>
  <r>
    <s v="Hans Yu"/>
    <x v="8"/>
  </r>
  <r>
    <s v="Lucky Gerona"/>
    <x v="15"/>
  </r>
  <r>
    <s v="Eugene Aloba"/>
    <x v="3"/>
  </r>
  <r>
    <s v="Jake Rodriguez"/>
    <x v="2"/>
  </r>
  <r>
    <s v="Jonas Trinidad"/>
    <x v="18"/>
  </r>
  <r>
    <s v="Shairhany Ayawan"/>
    <x v="2"/>
  </r>
  <r>
    <s v="Emman Christian Pagcaliwagan"/>
    <x v="19"/>
  </r>
  <r>
    <s v="Ann Gelize Gomez"/>
    <x v="20"/>
  </r>
  <r>
    <s v="Bianca Bea Nolasco"/>
    <x v="21"/>
  </r>
  <r>
    <s v="Mike Bellen"/>
    <x v="18"/>
  </r>
  <r>
    <s v="Gerry Mauricio"/>
    <x v="21"/>
  </r>
  <r>
    <s v="Darryl John Pagcaliwagan"/>
    <x v="18"/>
  </r>
  <r>
    <s v="Jiro Mallari"/>
    <x v="2"/>
  </r>
  <r>
    <s v="Marideth Valderama-Fetalvero"/>
    <x v="21"/>
  </r>
  <r>
    <s v="Maria Elena Navarro"/>
    <x v="21"/>
  </r>
  <r>
    <s v="Marc Emmanuel Ramos"/>
    <x v="2"/>
  </r>
  <r>
    <s v="Robert Revilla II"/>
    <x v="19"/>
  </r>
  <r>
    <s v="Russel Roy Deapera"/>
    <x v="20"/>
  </r>
  <r>
    <s v="Nicole Domasin"/>
    <x v="21"/>
  </r>
  <r>
    <s v="Aaron Abordo"/>
    <x v="18"/>
  </r>
  <r>
    <s v="Aurus Ortiz"/>
    <x v="2"/>
  </r>
  <r>
    <s v="Ezekiel Monfero"/>
    <x v="2"/>
  </r>
  <r>
    <s v="Rusty Villaflores"/>
    <x v="2"/>
  </r>
  <r>
    <s v="Ernest Tee"/>
    <x v="22"/>
  </r>
  <r>
    <s v="May Dizon"/>
    <x v="21"/>
  </r>
  <r>
    <s v="Michael Cauguiran"/>
    <x v="23"/>
  </r>
  <r>
    <s v="Paul John Garcia"/>
    <x v="2"/>
  </r>
  <r>
    <s v="Adrian Esteban"/>
    <x v="2"/>
  </r>
  <r>
    <s v="Paul Justin Manjares"/>
    <x v="2"/>
  </r>
  <r>
    <s v="John Biagon"/>
    <x v="24"/>
  </r>
  <r>
    <s v="Red Junio"/>
    <x v="24"/>
  </r>
  <r>
    <s v="Adrian Sulit"/>
    <x v="21"/>
  </r>
  <r>
    <s v="Carl Infante"/>
    <x v="2"/>
  </r>
  <r>
    <s v="Nikie Evangelista"/>
    <x v="18"/>
  </r>
  <r>
    <s v="Lou Serdoncillo"/>
    <x v="24"/>
  </r>
  <r>
    <s v="Matthew Roque"/>
    <x v="18"/>
  </r>
  <r>
    <s v="Nic Nicolas"/>
    <x v="2"/>
  </r>
  <r>
    <s v="Cath Figueras"/>
    <x v="22"/>
  </r>
  <r>
    <s v="Claire Deogracias"/>
    <x v="2"/>
  </r>
  <r>
    <s v="Dankris Martin"/>
    <x v="2"/>
  </r>
  <r>
    <s v="Mary May Albaracin"/>
    <x v="21"/>
  </r>
  <r>
    <s v="Kristina Barrinuevo"/>
    <x v="20"/>
  </r>
  <r>
    <s v="Marian Helen Basaen"/>
    <x v="21"/>
  </r>
  <r>
    <s v="Patricia Belmonte"/>
    <x v="20"/>
  </r>
  <r>
    <s v="Ann Bombay"/>
    <x v="18"/>
  </r>
  <r>
    <s v="Bey Buendia"/>
    <x v="23"/>
  </r>
  <r>
    <s v="Christian Calolot"/>
    <x v="24"/>
  </r>
  <r>
    <s v="Jozelle Casiano"/>
    <x v="25"/>
  </r>
  <r>
    <s v="Mark Colibao"/>
    <x v="26"/>
  </r>
  <r>
    <s v="Carmelita Cruz"/>
    <x v="27"/>
  </r>
  <r>
    <s v="Kiddo Gabby"/>
    <x v="24"/>
  </r>
  <r>
    <s v="Marcus Estrella"/>
    <x v="20"/>
  </r>
  <r>
    <s v="Sky Garrido"/>
    <x v="24"/>
  </r>
  <r>
    <s v="Jana Gipit"/>
    <x v="24"/>
  </r>
  <r>
    <s v="Joshua Joaquin"/>
    <x v="24"/>
  </r>
  <r>
    <s v="Arielle Lilagan"/>
    <x v="20"/>
  </r>
  <r>
    <s v="Philip Magpili"/>
    <x v="20"/>
  </r>
  <r>
    <s v="Briggs Malonzo"/>
    <x v="20"/>
  </r>
  <r>
    <s v="Pee Jay Malusay"/>
    <x v="24"/>
  </r>
  <r>
    <s v="Del Miranda"/>
    <x v="22"/>
  </r>
  <r>
    <s v="Aaron Paul Montero"/>
    <x v="19"/>
  </r>
  <r>
    <s v="Franchezka Mae Quiwa"/>
    <x v="21"/>
  </r>
  <r>
    <s v="Eirah Raymundo"/>
    <x v="21"/>
  </r>
  <r>
    <s v="Mark Christian Saberon"/>
    <x v="20"/>
  </r>
  <r>
    <s v="Kim Sasis"/>
    <x v="21"/>
  </r>
  <r>
    <s v="Ramon Tabo"/>
    <x v="19"/>
  </r>
  <r>
    <s v="Jheed Tan"/>
    <x v="2"/>
  </r>
  <r>
    <s v="Mico Tayag"/>
    <x v="23"/>
  </r>
  <r>
    <s v="Grace Ueno"/>
    <x v="24"/>
  </r>
  <r>
    <s v="Louigi Villegas"/>
    <x v="21"/>
  </r>
  <r>
    <s v="Deniel Anatalio"/>
    <x v="24"/>
  </r>
  <r>
    <s v="Patrick Aniciete"/>
    <x v="2"/>
  </r>
  <r>
    <s v="Jovenry Balangue"/>
    <x v="21"/>
  </r>
  <r>
    <s v="Brian Besinio"/>
    <x v="2"/>
  </r>
  <r>
    <s v="Echo Borbon"/>
    <x v="28"/>
  </r>
  <r>
    <s v="Rusty Bulan"/>
    <x v="2"/>
  </r>
  <r>
    <s v="Pats Buo"/>
    <x v="2"/>
  </r>
  <r>
    <s v="Jasper John Calambro"/>
    <x v="2"/>
  </r>
  <r>
    <s v="Elmark Corpus"/>
    <x v="2"/>
  </r>
  <r>
    <s v="Louis Cueto"/>
    <x v="29"/>
  </r>
  <r>
    <s v="Ren De Leon"/>
    <x v="2"/>
  </r>
  <r>
    <s v="Richard Delos Santos"/>
    <x v="2"/>
  </r>
  <r>
    <s v="Via Empesto"/>
    <x v="24"/>
  </r>
  <r>
    <s v="Queen Rachel Enriquez"/>
    <x v="2"/>
  </r>
  <r>
    <s v="Eloi Gonzales"/>
    <x v="27"/>
  </r>
  <r>
    <s v="Kenneth Hernandez"/>
    <x v="2"/>
  </r>
  <r>
    <s v="Azear John Lacsamana"/>
    <x v="21"/>
  </r>
  <r>
    <s v="Jester Lubuguin"/>
    <x v="23"/>
  </r>
  <r>
    <s v="Kristina Marie Lugay"/>
    <x v="22"/>
  </r>
  <r>
    <s v="Reyann Naga"/>
    <x v="2"/>
  </r>
  <r>
    <s v="Robyne Pamoceno"/>
    <x v="20"/>
  </r>
  <r>
    <s v="Leslie Panes"/>
    <x v="2"/>
  </r>
  <r>
    <s v="Raymond Par"/>
    <x v="2"/>
  </r>
  <r>
    <s v="Ali Pirzada"/>
    <x v="2"/>
  </r>
  <r>
    <s v="Elyssa Marie Pletado"/>
    <x v="21"/>
  </r>
  <r>
    <s v="Gerard Potato"/>
    <x v="15"/>
  </r>
  <r>
    <s v="Erveen Ray Ramos"/>
    <x v="20"/>
  </r>
  <r>
    <s v="Marx Reyes"/>
    <x v="2"/>
  </r>
  <r>
    <s v="Andrei Reyes"/>
    <x v="26"/>
  </r>
  <r>
    <s v="Vince Tenorio"/>
    <x v="2"/>
  </r>
  <r>
    <s v="Alec Villados"/>
    <x v="2"/>
  </r>
  <r>
    <s v="Rachelle Villaflor"/>
    <x v="20"/>
  </r>
  <r>
    <s v="Jessli Nocon"/>
    <x v="23"/>
  </r>
  <r>
    <s v="Jenny Labao"/>
    <x v="26"/>
  </r>
  <r>
    <s v="John Lee Mazo"/>
    <x v="23"/>
  </r>
  <r>
    <s v="Ryan Ocampo"/>
    <x v="2"/>
  </r>
  <r>
    <s v="Paolo Ubaldo"/>
    <x v="22"/>
  </r>
  <r>
    <s v="Ramon Dela Cruz"/>
    <x v="26"/>
  </r>
  <r>
    <s v="Nyrico Cuartel"/>
    <x v="26"/>
  </r>
  <r>
    <s v="Daniela Concha"/>
    <x v="19"/>
  </r>
  <r>
    <s v="Neil Kalaw"/>
    <x v="22"/>
  </r>
  <r>
    <s v="Sean San Juan"/>
    <x v="2"/>
  </r>
  <r>
    <s v="Kristine Bustillo"/>
    <x v="2"/>
  </r>
  <r>
    <s v="Karla Roman"/>
    <x v="23"/>
  </r>
  <r>
    <s v="Lexter John Mariano"/>
    <x v="22"/>
  </r>
  <r>
    <s v="Christian Castro"/>
    <x v="30"/>
  </r>
  <r>
    <s v="CJ SANTOS"/>
    <x v="24"/>
  </r>
  <r>
    <s v="Tine Garcia"/>
    <x v="30"/>
  </r>
  <r>
    <s v="Mariejoe Diamzon"/>
    <x v="28"/>
  </r>
  <r>
    <s v="Adrian Arante"/>
    <x v="18"/>
  </r>
  <r>
    <s v="Anjo Javier"/>
    <x v="22"/>
  </r>
  <r>
    <s v="Jay-ar Ocampo"/>
    <x v="28"/>
  </r>
  <r>
    <s v="ZYMON JOHN GUANZON"/>
    <x v="20"/>
  </r>
  <r>
    <s v="Layla Traviño"/>
    <x v="31"/>
  </r>
  <r>
    <s v="Aira Arciaga"/>
    <x v="22"/>
  </r>
  <r>
    <s v="Ranny Edejer"/>
    <x v="22"/>
  </r>
  <r>
    <s v="Adrian Bandelaria"/>
    <x v="22"/>
  </r>
  <r>
    <s v="Maria Cristina San Jose"/>
    <x v="25"/>
  </r>
  <r>
    <s v="Jasper John Calabio"/>
    <x v="26"/>
  </r>
  <r>
    <s v="Kyle Bulan"/>
    <x v="28"/>
  </r>
  <r>
    <s v="Nicole Suñer"/>
    <x v="26"/>
  </r>
  <r>
    <s v="Mark Joseph Recile"/>
    <x v="26"/>
  </r>
  <r>
    <s v="Carmen Rayel"/>
    <x v="29"/>
  </r>
  <r>
    <s v="CK Luna"/>
    <x v="30"/>
  </r>
  <r>
    <s v="Anne-bel Amado"/>
    <x v="26"/>
  </r>
  <r>
    <s v="Harley Tesorero"/>
    <x v="30"/>
  </r>
  <r>
    <s v="Ivan Rey Amper"/>
    <x v="30"/>
  </r>
  <r>
    <s v="Rose Mae Pusancho"/>
    <x v="30"/>
  </r>
  <r>
    <s v="Joven Singian"/>
    <x v="24"/>
  </r>
  <r>
    <s v="Dian Cuerda"/>
    <x v="24"/>
  </r>
  <r>
    <s v="Jasper Lumba"/>
    <x v="24"/>
  </r>
  <r>
    <m/>
    <x v="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26F94F-D797-42D9-BA60-243474D575C3}" name="PivotTable1" cacheId="4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4:H38" firstHeaderRow="1" firstDataRow="1" firstDataCol="1"/>
  <pivotFields count="2">
    <pivotField dataField="1" compact="0" outline="0" showAll="0"/>
    <pivotField axis="axisRow" compact="0" outline="0" showAll="0">
      <items count="34">
        <item x="1"/>
        <item x="30"/>
        <item x="24"/>
        <item x="11"/>
        <item x="2"/>
        <item x="15"/>
        <item x="19"/>
        <item x="18"/>
        <item x="26"/>
        <item x="14"/>
        <item x="13"/>
        <item x="23"/>
        <item x="28"/>
        <item x="17"/>
        <item x="25"/>
        <item x="20"/>
        <item x="29"/>
        <item x="22"/>
        <item x="31"/>
        <item x="12"/>
        <item x="16"/>
        <item x="10"/>
        <item x="6"/>
        <item x="0"/>
        <item x="5"/>
        <item x="9"/>
        <item x="7"/>
        <item x="27"/>
        <item x="4"/>
        <item x="21"/>
        <item x="8"/>
        <item x="3"/>
        <item x="32"/>
        <item t="default"/>
      </items>
    </pivotField>
  </pivotFields>
  <rowFields count="1">
    <field x="1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Items count="1">
    <i/>
  </colItems>
  <dataFields count="1">
    <dataField name="Count of Name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51" dT="2026-07-15T04:50:37.20" personId="{FA6B4ED2-6B66-4672-9C4C-417281A54493}" id="{45C78E8B-A02C-426A-AC6A-EF940DF6895F}">
    <text>@Carmelita Cruz (AC Manila)</text>
    <mentions>
      <mention mentionpersonId="{8765AD6F-06AC-4A84-935A-6A7892B62A62}" mentionId="{5FCFBB8E-F8DD-4932-9AE0-9E7ACD21EF90}" startIndex="0" length="27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DA308-0358-4AB4-8AB9-2A5F939358D3}">
  <dimension ref="A1:CH81"/>
  <sheetViews>
    <sheetView showGridLines="0" zoomScale="55" zoomScaleNormal="55" workbookViewId="0">
      <selection activeCell="AB49" sqref="AB49:AB50"/>
    </sheetView>
  </sheetViews>
  <sheetFormatPr defaultColWidth="8.7109375" defaultRowHeight="15"/>
  <cols>
    <col min="1" max="1" width="3" style="1" customWidth="1"/>
    <col min="2" max="2" width="4.42578125" style="1" customWidth="1"/>
    <col min="3" max="3" width="20.140625" style="1" customWidth="1"/>
    <col min="4" max="6" width="4.7109375" style="1" customWidth="1"/>
    <col min="7" max="9" width="3.85546875" style="1" customWidth="1"/>
    <col min="10" max="12" width="4.7109375" style="1" customWidth="1"/>
    <col min="13" max="13" width="10.5703125" style="1" customWidth="1"/>
    <col min="14" max="14" width="13.85546875" style="1" customWidth="1"/>
    <col min="15" max="15" width="4.7109375" style="1" customWidth="1"/>
    <col min="16" max="16" width="7.7109375" style="1" customWidth="1"/>
    <col min="17" max="17" width="4.7109375" style="1" customWidth="1"/>
    <col min="18" max="18" width="6.7109375" style="1" customWidth="1"/>
    <col min="19" max="19" width="4.7109375" style="1" customWidth="1"/>
    <col min="20" max="20" width="6.28515625" style="1" customWidth="1"/>
    <col min="21" max="23" width="4.7109375" style="1" customWidth="1"/>
    <col min="24" max="24" width="9" style="1" customWidth="1"/>
    <col min="25" max="25" width="4.7109375" style="1" customWidth="1"/>
    <col min="26" max="26" width="6.5703125" style="1" customWidth="1"/>
    <col min="27" max="27" width="4.7109375" style="1" customWidth="1"/>
    <col min="28" max="28" width="6.42578125" style="1" customWidth="1"/>
    <col min="29" max="29" width="4.7109375" style="1" customWidth="1"/>
    <col min="30" max="30" width="8.85546875" style="1" customWidth="1"/>
    <col min="31" max="31" width="4.7109375" style="1" customWidth="1"/>
    <col min="32" max="33" width="8.85546875" style="1" customWidth="1"/>
    <col min="34" max="34" width="12.42578125" style="1" customWidth="1"/>
    <col min="35" max="61" width="4.5703125" style="1" customWidth="1"/>
    <col min="62" max="62" width="6.5703125" style="1" customWidth="1"/>
    <col min="63" max="80" width="4.85546875" style="1" customWidth="1"/>
    <col min="81" max="16384" width="8.7109375" style="1"/>
  </cols>
  <sheetData>
    <row r="1" spans="1:86">
      <c r="A1" s="253" t="s">
        <v>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86">
      <c r="A2" s="253"/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4" spans="1:86" ht="14.1" customHeight="1">
      <c r="C4" s="193" t="s">
        <v>1</v>
      </c>
      <c r="D4" s="193"/>
      <c r="E4" s="193"/>
      <c r="G4" s="196" t="s">
        <v>2</v>
      </c>
      <c r="H4" s="197"/>
      <c r="I4" s="197"/>
      <c r="J4" s="198"/>
      <c r="K4" s="196" t="s">
        <v>3</v>
      </c>
      <c r="L4" s="197"/>
      <c r="M4" s="198"/>
      <c r="N4" s="196" t="s">
        <v>4</v>
      </c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  <c r="AA4" s="197"/>
      <c r="AB4" s="198"/>
      <c r="AD4" s="193" t="s">
        <v>5</v>
      </c>
      <c r="AE4" s="211"/>
      <c r="AF4" s="211"/>
      <c r="AG4" s="211"/>
      <c r="AH4" s="211"/>
      <c r="AI4" s="211"/>
      <c r="AJ4" s="211"/>
      <c r="AK4" s="211"/>
      <c r="AM4" s="225" t="s">
        <v>6</v>
      </c>
      <c r="AN4" s="221"/>
      <c r="AO4" s="221"/>
      <c r="AP4" s="221"/>
      <c r="AQ4" s="221"/>
      <c r="AR4" s="221"/>
      <c r="AS4" s="221"/>
      <c r="AT4" s="221"/>
      <c r="AU4" s="221"/>
      <c r="AV4" s="221"/>
      <c r="AW4" s="221"/>
      <c r="AX4" s="221"/>
      <c r="AY4" s="221"/>
      <c r="AZ4" s="221"/>
      <c r="BA4" s="221"/>
      <c r="BB4" s="226"/>
      <c r="BC4" s="225" t="s">
        <v>7</v>
      </c>
      <c r="BD4" s="221"/>
      <c r="BE4" s="221"/>
      <c r="BF4" s="221"/>
      <c r="BG4" s="221"/>
      <c r="BH4" s="221"/>
      <c r="BI4" s="221"/>
      <c r="BJ4" s="221"/>
      <c r="BK4" s="221"/>
      <c r="BL4" s="221"/>
      <c r="BM4" s="221"/>
      <c r="BN4" s="221"/>
      <c r="BO4" s="226"/>
      <c r="BP4" s="225" t="s">
        <v>8</v>
      </c>
      <c r="BQ4" s="221"/>
      <c r="BR4" s="221"/>
      <c r="BS4" s="221"/>
      <c r="BT4" s="221"/>
      <c r="BU4" s="221"/>
      <c r="BV4" s="221"/>
      <c r="BW4" s="221"/>
      <c r="BX4" s="221"/>
      <c r="BY4" s="221"/>
      <c r="BZ4" s="221"/>
      <c r="CA4" s="221"/>
      <c r="CB4" s="226"/>
    </row>
    <row r="5" spans="1:86" ht="14.1" customHeight="1">
      <c r="C5" s="193"/>
      <c r="D5" s="193"/>
      <c r="E5" s="193"/>
      <c r="G5" s="199"/>
      <c r="H5" s="168"/>
      <c r="I5" s="168"/>
      <c r="J5" s="200"/>
      <c r="K5" s="199"/>
      <c r="L5" s="168"/>
      <c r="M5" s="200"/>
      <c r="N5" s="199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  <c r="AA5" s="168"/>
      <c r="AB5" s="200"/>
      <c r="AD5" s="211"/>
      <c r="AE5" s="211"/>
      <c r="AF5" s="211"/>
      <c r="AG5" s="211"/>
      <c r="AH5" s="211"/>
      <c r="AI5" s="211"/>
      <c r="AJ5" s="211"/>
      <c r="AK5" s="211"/>
      <c r="AM5" s="4"/>
      <c r="AN5" s="5"/>
      <c r="AO5" s="72">
        <v>3</v>
      </c>
      <c r="AP5" s="5"/>
      <c r="AQ5" s="5"/>
      <c r="AR5" s="72">
        <v>6</v>
      </c>
      <c r="AS5" s="72">
        <v>9</v>
      </c>
      <c r="AT5" s="5"/>
      <c r="AU5" s="5"/>
      <c r="AV5" s="72">
        <v>12</v>
      </c>
      <c r="AW5" s="72">
        <v>15</v>
      </c>
      <c r="AX5" s="5"/>
      <c r="AY5" s="5"/>
      <c r="AZ5" s="72">
        <v>18</v>
      </c>
      <c r="BA5" s="5"/>
      <c r="BB5" s="7"/>
      <c r="BC5" s="4"/>
      <c r="BE5" s="105">
        <v>3</v>
      </c>
      <c r="BG5" s="105">
        <v>6</v>
      </c>
      <c r="BH5" s="105">
        <v>9</v>
      </c>
      <c r="BJ5" s="105">
        <v>12</v>
      </c>
      <c r="BK5" s="105">
        <v>15</v>
      </c>
      <c r="BM5" s="105">
        <v>18</v>
      </c>
      <c r="BO5" s="7"/>
      <c r="BP5" s="8"/>
      <c r="BQ5" s="2">
        <v>1</v>
      </c>
      <c r="BR5" s="2">
        <v>4</v>
      </c>
      <c r="BT5" s="2">
        <v>7</v>
      </c>
      <c r="BU5" s="2">
        <v>10</v>
      </c>
      <c r="BW5" s="2">
        <v>13</v>
      </c>
      <c r="BX5" s="2">
        <v>16</v>
      </c>
      <c r="BZ5" s="2">
        <v>19</v>
      </c>
      <c r="CB5" s="9"/>
    </row>
    <row r="6" spans="1:86">
      <c r="C6" s="193"/>
      <c r="D6" s="193"/>
      <c r="E6" s="193"/>
      <c r="G6" s="199"/>
      <c r="H6" s="168"/>
      <c r="I6" s="168"/>
      <c r="J6" s="200"/>
      <c r="K6" s="199"/>
      <c r="L6" s="168"/>
      <c r="M6" s="200"/>
      <c r="N6" s="199"/>
      <c r="O6" s="168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  <c r="AA6" s="168"/>
      <c r="AB6" s="200"/>
      <c r="AD6" s="211"/>
      <c r="AE6" s="211"/>
      <c r="AF6" s="211"/>
      <c r="AG6" s="211"/>
      <c r="AH6" s="211"/>
      <c r="AI6" s="211"/>
      <c r="AJ6" s="211"/>
      <c r="AK6" s="211"/>
      <c r="AM6" s="4"/>
      <c r="AN6" s="73">
        <v>1</v>
      </c>
      <c r="AO6" s="72">
        <v>4</v>
      </c>
      <c r="AP6" s="5"/>
      <c r="AQ6" s="5"/>
      <c r="AR6" s="72">
        <v>7</v>
      </c>
      <c r="AS6" s="72">
        <v>10</v>
      </c>
      <c r="AT6" s="5"/>
      <c r="AU6" s="5"/>
      <c r="AV6" s="72">
        <v>13</v>
      </c>
      <c r="AW6" s="72">
        <v>16</v>
      </c>
      <c r="AX6" s="5"/>
      <c r="AY6" s="5"/>
      <c r="AZ6" s="72">
        <v>19</v>
      </c>
      <c r="BA6" s="72">
        <v>21</v>
      </c>
      <c r="BB6" s="7"/>
      <c r="BC6" s="4"/>
      <c r="BD6" s="106">
        <v>1</v>
      </c>
      <c r="BE6" s="105">
        <v>4</v>
      </c>
      <c r="BG6" s="105">
        <v>7</v>
      </c>
      <c r="BH6" s="105">
        <v>10</v>
      </c>
      <c r="BJ6" s="105">
        <v>13</v>
      </c>
      <c r="BK6" s="105">
        <v>16</v>
      </c>
      <c r="BM6" s="105">
        <v>19</v>
      </c>
      <c r="BN6" s="105">
        <v>21</v>
      </c>
      <c r="BO6" s="7"/>
      <c r="BP6" s="8"/>
      <c r="BQ6" s="2">
        <v>2</v>
      </c>
      <c r="BR6" s="2">
        <v>5</v>
      </c>
      <c r="BT6" s="2">
        <v>8</v>
      </c>
      <c r="BU6" s="2">
        <v>11</v>
      </c>
      <c r="BW6" s="2">
        <v>14</v>
      </c>
      <c r="BX6" s="2">
        <v>17</v>
      </c>
      <c r="BZ6" s="2">
        <v>20</v>
      </c>
      <c r="CA6" s="2">
        <v>22</v>
      </c>
      <c r="CB6" s="9"/>
    </row>
    <row r="7" spans="1:86">
      <c r="C7" s="193"/>
      <c r="D7" s="193"/>
      <c r="E7" s="193"/>
      <c r="G7" s="199"/>
      <c r="H7" s="168"/>
      <c r="I7" s="168"/>
      <c r="J7" s="200"/>
      <c r="K7" s="201"/>
      <c r="L7" s="202"/>
      <c r="M7" s="203"/>
      <c r="N7" s="201"/>
      <c r="O7" s="202"/>
      <c r="P7" s="202"/>
      <c r="Q7" s="202"/>
      <c r="R7" s="202"/>
      <c r="S7" s="202"/>
      <c r="T7" s="202"/>
      <c r="U7" s="202"/>
      <c r="V7" s="202"/>
      <c r="W7" s="202"/>
      <c r="X7" s="202"/>
      <c r="Y7" s="202"/>
      <c r="Z7" s="202"/>
      <c r="AA7" s="202"/>
      <c r="AB7" s="203"/>
      <c r="AD7" s="211"/>
      <c r="AE7" s="211"/>
      <c r="AF7" s="211"/>
      <c r="AG7" s="211"/>
      <c r="AH7" s="211"/>
      <c r="AI7" s="211"/>
      <c r="AJ7" s="211"/>
      <c r="AK7" s="211"/>
      <c r="AM7" s="4"/>
      <c r="AN7" s="73">
        <v>2</v>
      </c>
      <c r="AO7" s="72">
        <v>5</v>
      </c>
      <c r="AP7" s="5"/>
      <c r="AQ7" s="5"/>
      <c r="AR7" s="72">
        <v>8</v>
      </c>
      <c r="AS7" s="72">
        <v>11</v>
      </c>
      <c r="AT7" s="5"/>
      <c r="AU7" s="5"/>
      <c r="AV7" s="72">
        <v>14</v>
      </c>
      <c r="AW7" s="72">
        <v>17</v>
      </c>
      <c r="AX7" s="5"/>
      <c r="AY7" s="5"/>
      <c r="AZ7" s="72">
        <v>20</v>
      </c>
      <c r="BA7" s="72">
        <v>22</v>
      </c>
      <c r="BB7" s="7"/>
      <c r="BC7" s="4"/>
      <c r="BD7" s="106">
        <v>2</v>
      </c>
      <c r="BE7" s="105">
        <v>5</v>
      </c>
      <c r="BG7" s="105">
        <v>8</v>
      </c>
      <c r="BH7" s="105">
        <v>11</v>
      </c>
      <c r="BJ7" s="105">
        <v>14</v>
      </c>
      <c r="BK7" s="105">
        <v>17</v>
      </c>
      <c r="BM7" s="105">
        <v>20</v>
      </c>
      <c r="BN7" s="105">
        <v>22</v>
      </c>
      <c r="BO7" s="7"/>
      <c r="BP7" s="8"/>
      <c r="BQ7" s="2">
        <v>3</v>
      </c>
      <c r="BR7" s="2">
        <v>6</v>
      </c>
      <c r="BT7" s="2">
        <v>9</v>
      </c>
      <c r="BU7" s="2">
        <v>12</v>
      </c>
      <c r="BW7" s="2">
        <v>15</v>
      </c>
      <c r="BX7" s="2">
        <v>18</v>
      </c>
      <c r="BZ7" s="2">
        <v>21</v>
      </c>
      <c r="CA7" s="2">
        <v>23</v>
      </c>
      <c r="CB7" s="9"/>
    </row>
    <row r="8" spans="1:86" ht="14.45" customHeight="1">
      <c r="C8" s="193"/>
      <c r="D8" s="193"/>
      <c r="E8" s="193"/>
      <c r="G8" s="199"/>
      <c r="H8" s="168"/>
      <c r="I8" s="168"/>
      <c r="J8" s="200"/>
      <c r="K8" s="196" t="s">
        <v>9</v>
      </c>
      <c r="L8" s="197"/>
      <c r="M8" s="198"/>
      <c r="N8" s="196" t="s">
        <v>10</v>
      </c>
      <c r="O8" s="197"/>
      <c r="P8" s="197"/>
      <c r="Q8" s="197"/>
      <c r="R8" s="197"/>
      <c r="S8" s="197"/>
      <c r="T8" s="197"/>
      <c r="U8" s="197"/>
      <c r="V8" s="197"/>
      <c r="W8" s="197"/>
      <c r="X8" s="197"/>
      <c r="Y8" s="197"/>
      <c r="Z8" s="197"/>
      <c r="AA8" s="197"/>
      <c r="AB8" s="198"/>
      <c r="AD8" s="5"/>
      <c r="AE8" s="5"/>
      <c r="AF8" s="5"/>
      <c r="AG8" s="5"/>
      <c r="AH8" s="5"/>
      <c r="AI8" s="5"/>
      <c r="AJ8" s="5"/>
      <c r="AK8" s="5"/>
      <c r="AL8" s="5"/>
      <c r="AM8" s="12"/>
      <c r="AN8" s="13"/>
      <c r="AO8" s="13"/>
      <c r="AP8" s="13"/>
      <c r="AQ8" s="13"/>
      <c r="AR8" s="13"/>
      <c r="AS8" s="206">
        <v>11002</v>
      </c>
      <c r="AT8" s="206"/>
      <c r="AU8" s="206"/>
      <c r="AV8" s="206"/>
      <c r="AW8" s="13"/>
      <c r="AX8" s="13"/>
      <c r="AY8" s="13"/>
      <c r="AZ8" s="13"/>
      <c r="BA8" s="13"/>
      <c r="BB8" s="14"/>
      <c r="BC8" s="12"/>
      <c r="BD8" s="15"/>
      <c r="BE8" s="15"/>
      <c r="BF8" s="15"/>
      <c r="BG8" s="15"/>
      <c r="BH8" s="206">
        <v>11006</v>
      </c>
      <c r="BI8" s="206"/>
      <c r="BJ8" s="206"/>
      <c r="BK8" s="15"/>
      <c r="BL8" s="15"/>
      <c r="BM8" s="15"/>
      <c r="BN8" s="15"/>
      <c r="BO8" s="14"/>
      <c r="BP8" s="16"/>
      <c r="BQ8" s="13"/>
      <c r="BR8" s="13"/>
      <c r="BS8" s="13"/>
      <c r="BT8" s="13"/>
      <c r="BU8" s="206">
        <v>11009</v>
      </c>
      <c r="BV8" s="206"/>
      <c r="BW8" s="206"/>
      <c r="BX8" s="13"/>
      <c r="BY8" s="13"/>
      <c r="BZ8" s="13"/>
      <c r="CA8" s="13"/>
      <c r="CB8" s="17"/>
    </row>
    <row r="9" spans="1:86">
      <c r="C9" s="193"/>
      <c r="D9" s="193"/>
      <c r="E9" s="193"/>
      <c r="G9" s="199"/>
      <c r="H9" s="168"/>
      <c r="I9" s="168"/>
      <c r="J9" s="200"/>
      <c r="K9" s="199"/>
      <c r="L9" s="168"/>
      <c r="M9" s="200"/>
      <c r="N9" s="199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  <c r="AA9" s="168"/>
      <c r="AB9" s="200"/>
      <c r="AD9" s="5"/>
      <c r="AE9" s="5"/>
      <c r="AF9" s="5"/>
      <c r="AG9" s="5"/>
      <c r="AH9" s="5"/>
      <c r="AI9" s="5"/>
      <c r="AJ9" s="5"/>
      <c r="AK9" s="5"/>
      <c r="AL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</row>
    <row r="10" spans="1:86">
      <c r="C10" s="193"/>
      <c r="D10" s="193"/>
      <c r="E10" s="193"/>
      <c r="G10" s="199"/>
      <c r="H10" s="168"/>
      <c r="I10" s="168"/>
      <c r="J10" s="200"/>
      <c r="K10" s="199"/>
      <c r="L10" s="168"/>
      <c r="M10" s="200"/>
      <c r="N10" s="199"/>
      <c r="O10" s="168"/>
      <c r="P10" s="168"/>
      <c r="Q10" s="168"/>
      <c r="R10" s="168"/>
      <c r="S10" s="168"/>
      <c r="T10" s="168"/>
      <c r="U10" s="168"/>
      <c r="V10" s="168"/>
      <c r="W10" s="168"/>
      <c r="X10" s="168"/>
      <c r="Y10" s="168"/>
      <c r="Z10" s="168"/>
      <c r="AA10" s="168"/>
      <c r="AB10" s="200"/>
      <c r="AD10" s="193" t="s">
        <v>11</v>
      </c>
      <c r="AE10" s="211"/>
      <c r="AF10" s="211"/>
      <c r="AG10" s="211"/>
      <c r="AH10" s="211"/>
      <c r="AI10" s="211"/>
      <c r="AJ10" s="211"/>
      <c r="AK10" s="211"/>
      <c r="AL10" s="211"/>
      <c r="AM10" s="211"/>
      <c r="AN10" s="211"/>
      <c r="AO10" s="193" t="s">
        <v>12</v>
      </c>
      <c r="AP10" s="211"/>
      <c r="AQ10" s="211"/>
      <c r="AR10" s="211"/>
      <c r="AS10" s="211"/>
      <c r="AT10" s="211"/>
      <c r="AU10" s="211"/>
      <c r="AV10" s="211"/>
      <c r="AW10" s="211"/>
      <c r="AX10" s="236" t="s">
        <v>13</v>
      </c>
      <c r="AY10" s="236"/>
      <c r="AZ10" s="236"/>
      <c r="BA10" s="193" t="s">
        <v>14</v>
      </c>
      <c r="BB10" s="211"/>
      <c r="BC10" s="211"/>
      <c r="BD10" s="211"/>
      <c r="BE10" s="211"/>
      <c r="BF10" s="193" t="s">
        <v>15</v>
      </c>
      <c r="BG10" s="211"/>
      <c r="BH10" s="211"/>
      <c r="BI10" s="211"/>
      <c r="BJ10" s="211"/>
      <c r="BK10" s="193" t="s">
        <v>16</v>
      </c>
      <c r="BL10" s="211"/>
      <c r="BM10" s="211"/>
      <c r="BO10" s="5"/>
      <c r="BP10" s="196" t="s">
        <v>17</v>
      </c>
      <c r="BQ10" s="246"/>
      <c r="BR10" s="246"/>
      <c r="BS10" s="246"/>
      <c r="BT10" s="246"/>
      <c r="BU10" s="246"/>
      <c r="BV10" s="246"/>
      <c r="BW10" s="246"/>
      <c r="BX10" s="246"/>
      <c r="BY10" s="246"/>
      <c r="BZ10" s="246"/>
      <c r="CA10" s="246"/>
      <c r="CB10" s="247"/>
    </row>
    <row r="11" spans="1:86" ht="36.75" customHeight="1">
      <c r="C11" s="193"/>
      <c r="D11" s="193"/>
      <c r="E11" s="193"/>
      <c r="G11" s="201"/>
      <c r="H11" s="202"/>
      <c r="I11" s="202"/>
      <c r="J11" s="203"/>
      <c r="K11" s="201"/>
      <c r="L11" s="202"/>
      <c r="M11" s="203"/>
      <c r="N11" s="201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3"/>
      <c r="AD11" s="211"/>
      <c r="AE11" s="211"/>
      <c r="AF11" s="211"/>
      <c r="AG11" s="211"/>
      <c r="AH11" s="211"/>
      <c r="AI11" s="211"/>
      <c r="AJ11" s="211"/>
      <c r="AK11" s="211"/>
      <c r="AL11" s="211"/>
      <c r="AM11" s="211"/>
      <c r="AN11" s="211"/>
      <c r="AO11" s="211"/>
      <c r="AP11" s="211"/>
      <c r="AQ11" s="211"/>
      <c r="AR11" s="211"/>
      <c r="AS11" s="211"/>
      <c r="AT11" s="211"/>
      <c r="AU11" s="211"/>
      <c r="AV11" s="211"/>
      <c r="AW11" s="211"/>
      <c r="AX11" s="236"/>
      <c r="AY11" s="236"/>
      <c r="AZ11" s="236"/>
      <c r="BA11" s="211"/>
      <c r="BB11" s="211"/>
      <c r="BC11" s="211"/>
      <c r="BD11" s="211"/>
      <c r="BE11" s="211"/>
      <c r="BF11" s="211"/>
      <c r="BG11" s="211"/>
      <c r="BH11" s="211"/>
      <c r="BI11" s="211"/>
      <c r="BJ11" s="211"/>
      <c r="BK11" s="211"/>
      <c r="BL11" s="211"/>
      <c r="BM11" s="211"/>
      <c r="BO11" s="5"/>
      <c r="BP11" s="248"/>
      <c r="BQ11" s="161"/>
      <c r="BR11" s="161"/>
      <c r="BS11" s="161"/>
      <c r="BT11" s="161"/>
      <c r="BU11" s="161"/>
      <c r="BV11" s="161"/>
      <c r="BW11" s="161"/>
      <c r="BX11" s="161"/>
      <c r="BY11" s="161"/>
      <c r="BZ11" s="161"/>
      <c r="CA11" s="161"/>
      <c r="CB11" s="249"/>
    </row>
    <row r="12" spans="1:86">
      <c r="C12" s="193"/>
      <c r="D12" s="193"/>
      <c r="E12" s="19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248"/>
      <c r="BQ12" s="161"/>
      <c r="BR12" s="161"/>
      <c r="BS12" s="161"/>
      <c r="BT12" s="161"/>
      <c r="BU12" s="161"/>
      <c r="BV12" s="161"/>
      <c r="BW12" s="161"/>
      <c r="BX12" s="161"/>
      <c r="BY12" s="161"/>
      <c r="BZ12" s="161"/>
      <c r="CA12" s="161"/>
      <c r="CB12" s="249"/>
      <c r="CH12" s="1">
        <f>SUM(50,8,22,22,23)</f>
        <v>125</v>
      </c>
    </row>
    <row r="13" spans="1:86">
      <c r="C13" s="193"/>
      <c r="D13" s="193"/>
      <c r="E13" s="193"/>
      <c r="G13" s="3"/>
      <c r="H13" s="206">
        <v>11056</v>
      </c>
      <c r="I13" s="206"/>
      <c r="J13" s="3"/>
      <c r="BP13" s="248"/>
      <c r="BQ13" s="161"/>
      <c r="BR13" s="161"/>
      <c r="BS13" s="161"/>
      <c r="BT13" s="161"/>
      <c r="BU13" s="161"/>
      <c r="BV13" s="161"/>
      <c r="BW13" s="161"/>
      <c r="BX13" s="161"/>
      <c r="BY13" s="161"/>
      <c r="BZ13" s="161"/>
      <c r="CA13" s="161"/>
      <c r="CB13" s="249"/>
    </row>
    <row r="14" spans="1:86" ht="14.1" customHeight="1">
      <c r="C14" s="193"/>
      <c r="D14" s="193"/>
      <c r="E14" s="193"/>
      <c r="G14" s="269">
        <v>1</v>
      </c>
      <c r="H14" s="270"/>
      <c r="I14" s="269">
        <v>2</v>
      </c>
      <c r="J14" s="270"/>
      <c r="L14" s="193" t="s">
        <v>18</v>
      </c>
      <c r="M14" s="193"/>
      <c r="N14" s="193" t="s">
        <v>19</v>
      </c>
      <c r="O14" s="211" t="s">
        <v>20</v>
      </c>
      <c r="P14" s="211"/>
      <c r="Q14" s="211"/>
      <c r="R14" s="211"/>
      <c r="S14" s="211"/>
      <c r="T14" s="211"/>
      <c r="V14" s="214" t="s">
        <v>21</v>
      </c>
      <c r="W14" s="214"/>
      <c r="X14" s="214"/>
      <c r="Y14" s="214" t="s">
        <v>22</v>
      </c>
      <c r="Z14" s="214"/>
      <c r="AA14" s="214"/>
      <c r="AB14" s="214"/>
      <c r="AC14" s="214"/>
      <c r="AG14" s="214" t="s">
        <v>22</v>
      </c>
      <c r="AH14" s="214"/>
      <c r="AI14" s="214"/>
      <c r="AJ14" s="214"/>
      <c r="AK14" s="214"/>
      <c r="AL14" s="227" t="s">
        <v>23</v>
      </c>
      <c r="AM14" s="228"/>
      <c r="AN14" s="228"/>
      <c r="AO14" s="229"/>
      <c r="AP14" s="196" t="s">
        <v>24</v>
      </c>
      <c r="AQ14" s="197"/>
      <c r="AR14" s="197"/>
      <c r="AS14" s="198"/>
      <c r="AT14" s="237" t="s">
        <v>23</v>
      </c>
      <c r="AU14" s="238"/>
      <c r="AV14" s="238"/>
      <c r="AW14" s="239"/>
      <c r="AX14" s="214" t="s">
        <v>21</v>
      </c>
      <c r="AY14" s="214"/>
      <c r="AZ14" s="214"/>
      <c r="BA14" s="214"/>
      <c r="BB14" s="227" t="s">
        <v>25</v>
      </c>
      <c r="BC14" s="229"/>
      <c r="BF14" s="5"/>
      <c r="BG14" s="5"/>
      <c r="BH14" s="5"/>
      <c r="BI14" s="5"/>
      <c r="BJ14" s="5"/>
      <c r="BK14" s="5"/>
      <c r="BL14" s="5"/>
      <c r="BM14" s="5"/>
      <c r="BN14" s="5"/>
      <c r="BP14" s="250"/>
      <c r="BQ14" s="251"/>
      <c r="BR14" s="251"/>
      <c r="BS14" s="251"/>
      <c r="BT14" s="251"/>
      <c r="BU14" s="251"/>
      <c r="BV14" s="251"/>
      <c r="BW14" s="251"/>
      <c r="BX14" s="251"/>
      <c r="BY14" s="251"/>
      <c r="BZ14" s="251"/>
      <c r="CA14" s="251"/>
      <c r="CB14" s="252"/>
    </row>
    <row r="15" spans="1:86">
      <c r="C15" s="193"/>
      <c r="D15" s="193"/>
      <c r="E15" s="193"/>
      <c r="G15" s="269">
        <v>6</v>
      </c>
      <c r="H15" s="270"/>
      <c r="I15" s="269">
        <v>3</v>
      </c>
      <c r="J15" s="270"/>
      <c r="L15" s="193"/>
      <c r="M15" s="193"/>
      <c r="N15" s="193"/>
      <c r="O15" s="211"/>
      <c r="P15" s="211"/>
      <c r="Q15" s="211"/>
      <c r="R15" s="211"/>
      <c r="S15" s="211"/>
      <c r="T15" s="211"/>
      <c r="V15" s="214"/>
      <c r="W15" s="214"/>
      <c r="X15" s="214"/>
      <c r="Y15" s="214"/>
      <c r="Z15" s="214"/>
      <c r="AA15" s="214"/>
      <c r="AB15" s="214"/>
      <c r="AC15" s="214"/>
      <c r="AG15" s="214"/>
      <c r="AH15" s="214"/>
      <c r="AI15" s="214"/>
      <c r="AJ15" s="214"/>
      <c r="AK15" s="214"/>
      <c r="AL15" s="230"/>
      <c r="AM15" s="231"/>
      <c r="AN15" s="231"/>
      <c r="AO15" s="232"/>
      <c r="AP15" s="199"/>
      <c r="AQ15" s="168"/>
      <c r="AR15" s="168"/>
      <c r="AS15" s="200"/>
      <c r="AT15" s="240"/>
      <c r="AU15" s="241"/>
      <c r="AV15" s="241"/>
      <c r="AW15" s="242"/>
      <c r="AX15" s="214"/>
      <c r="AY15" s="214"/>
      <c r="AZ15" s="214"/>
      <c r="BA15" s="214"/>
      <c r="BB15" s="230"/>
      <c r="BC15" s="232"/>
      <c r="BF15" s="211" t="s">
        <v>26</v>
      </c>
      <c r="BG15" s="211"/>
      <c r="BH15" s="211"/>
      <c r="BI15" s="211"/>
      <c r="BJ15" s="211"/>
      <c r="BK15" s="211"/>
      <c r="BL15" s="211"/>
      <c r="BM15" s="211"/>
      <c r="BP15" s="193" t="s">
        <v>27</v>
      </c>
      <c r="BQ15" s="211"/>
      <c r="BR15" s="211"/>
      <c r="BS15" s="211"/>
      <c r="BT15" s="211"/>
      <c r="BU15" s="211"/>
      <c r="BV15" s="211"/>
      <c r="BW15" s="211"/>
      <c r="BX15" s="211"/>
      <c r="BY15" s="211"/>
      <c r="BZ15" s="211"/>
      <c r="CA15" s="211"/>
      <c r="CB15" s="211"/>
    </row>
    <row r="16" spans="1:86">
      <c r="C16" s="193" t="s">
        <v>28</v>
      </c>
      <c r="D16" s="193"/>
      <c r="E16" s="193"/>
      <c r="G16" s="269">
        <v>5</v>
      </c>
      <c r="H16" s="270"/>
      <c r="I16" s="269">
        <v>4</v>
      </c>
      <c r="J16" s="270"/>
      <c r="L16" s="193"/>
      <c r="M16" s="193"/>
      <c r="N16" s="193"/>
      <c r="O16" s="211"/>
      <c r="P16" s="211"/>
      <c r="Q16" s="211"/>
      <c r="R16" s="211"/>
      <c r="S16" s="211"/>
      <c r="T16" s="211"/>
      <c r="V16" s="214"/>
      <c r="W16" s="214"/>
      <c r="X16" s="214"/>
      <c r="Y16" s="214"/>
      <c r="Z16" s="214"/>
      <c r="AA16" s="214"/>
      <c r="AB16" s="214"/>
      <c r="AC16" s="214"/>
      <c r="AG16" s="214"/>
      <c r="AH16" s="214"/>
      <c r="AI16" s="214"/>
      <c r="AJ16" s="214"/>
      <c r="AK16" s="214"/>
      <c r="AL16" s="230"/>
      <c r="AM16" s="231"/>
      <c r="AN16" s="231"/>
      <c r="AO16" s="232"/>
      <c r="AP16" s="199"/>
      <c r="AQ16" s="168"/>
      <c r="AR16" s="168"/>
      <c r="AS16" s="200"/>
      <c r="AT16" s="240"/>
      <c r="AU16" s="241"/>
      <c r="AV16" s="241"/>
      <c r="AW16" s="242"/>
      <c r="AX16" s="214"/>
      <c r="AY16" s="214"/>
      <c r="AZ16" s="214"/>
      <c r="BA16" s="214"/>
      <c r="BB16" s="230"/>
      <c r="BC16" s="232"/>
      <c r="BF16" s="211"/>
      <c r="BG16" s="211"/>
      <c r="BH16" s="211"/>
      <c r="BI16" s="211"/>
      <c r="BJ16" s="211"/>
      <c r="BK16" s="211"/>
      <c r="BL16" s="211"/>
      <c r="BM16" s="211"/>
      <c r="BP16" s="211"/>
      <c r="BQ16" s="211"/>
      <c r="BR16" s="211"/>
      <c r="BS16" s="211"/>
      <c r="BT16" s="211"/>
      <c r="BU16" s="211"/>
      <c r="BV16" s="211"/>
      <c r="BW16" s="211"/>
      <c r="BX16" s="211"/>
      <c r="BY16" s="211"/>
      <c r="BZ16" s="211"/>
      <c r="CA16" s="211"/>
      <c r="CB16" s="211"/>
    </row>
    <row r="17" spans="3:80">
      <c r="C17" s="193"/>
      <c r="D17" s="193"/>
      <c r="E17" s="193"/>
      <c r="G17" s="218" t="s">
        <v>29</v>
      </c>
      <c r="H17" s="218"/>
      <c r="I17" s="218"/>
      <c r="J17" s="218"/>
      <c r="L17" s="193"/>
      <c r="M17" s="193"/>
      <c r="N17" s="193"/>
      <c r="O17" s="211"/>
      <c r="P17" s="211"/>
      <c r="Q17" s="211"/>
      <c r="R17" s="211"/>
      <c r="S17" s="211"/>
      <c r="T17" s="211"/>
      <c r="V17" s="214"/>
      <c r="W17" s="214"/>
      <c r="X17" s="214"/>
      <c r="Y17" s="214"/>
      <c r="Z17" s="214"/>
      <c r="AA17" s="214"/>
      <c r="AB17" s="214"/>
      <c r="AC17" s="214"/>
      <c r="AG17" s="214"/>
      <c r="AH17" s="214"/>
      <c r="AI17" s="214"/>
      <c r="AJ17" s="214"/>
      <c r="AK17" s="214"/>
      <c r="AL17" s="230"/>
      <c r="AM17" s="231"/>
      <c r="AN17" s="231"/>
      <c r="AO17" s="232"/>
      <c r="AP17" s="199"/>
      <c r="AQ17" s="168"/>
      <c r="AR17" s="168"/>
      <c r="AS17" s="200"/>
      <c r="AT17" s="240"/>
      <c r="AU17" s="241"/>
      <c r="AV17" s="241"/>
      <c r="AW17" s="242"/>
      <c r="AX17" s="214"/>
      <c r="AY17" s="214"/>
      <c r="AZ17" s="214"/>
      <c r="BA17" s="214"/>
      <c r="BB17" s="230"/>
      <c r="BC17" s="232"/>
      <c r="BF17" s="211"/>
      <c r="BG17" s="211"/>
      <c r="BH17" s="211"/>
      <c r="BI17" s="211"/>
      <c r="BJ17" s="211"/>
      <c r="BK17" s="211"/>
      <c r="BL17" s="211"/>
      <c r="BM17" s="211"/>
      <c r="BP17" s="211"/>
      <c r="BQ17" s="211"/>
      <c r="BR17" s="211"/>
      <c r="BS17" s="211"/>
      <c r="BT17" s="211"/>
      <c r="BU17" s="211"/>
      <c r="BV17" s="211"/>
      <c r="BW17" s="211"/>
      <c r="BX17" s="211"/>
      <c r="BY17" s="211"/>
      <c r="BZ17" s="211"/>
      <c r="CA17" s="211"/>
      <c r="CB17" s="211"/>
    </row>
    <row r="18" spans="3:80">
      <c r="C18" s="193"/>
      <c r="D18" s="193"/>
      <c r="E18" s="193"/>
      <c r="G18" s="269">
        <v>1</v>
      </c>
      <c r="H18" s="270"/>
      <c r="I18" s="269">
        <v>2</v>
      </c>
      <c r="J18" s="270"/>
      <c r="L18" s="193" t="s">
        <v>30</v>
      </c>
      <c r="M18" s="193"/>
      <c r="N18" s="193"/>
      <c r="O18" s="211"/>
      <c r="P18" s="211"/>
      <c r="Q18" s="211"/>
      <c r="R18" s="211"/>
      <c r="S18" s="211"/>
      <c r="T18" s="211"/>
      <c r="V18" s="214"/>
      <c r="W18" s="214"/>
      <c r="X18" s="214"/>
      <c r="Y18" s="214"/>
      <c r="Z18" s="214"/>
      <c r="AA18" s="214"/>
      <c r="AB18" s="214"/>
      <c r="AC18" s="214"/>
      <c r="AG18" s="214"/>
      <c r="AH18" s="214"/>
      <c r="AI18" s="214"/>
      <c r="AJ18" s="214"/>
      <c r="AK18" s="214"/>
      <c r="AL18" s="230"/>
      <c r="AM18" s="231"/>
      <c r="AN18" s="231"/>
      <c r="AO18" s="232"/>
      <c r="AP18" s="199"/>
      <c r="AQ18" s="168"/>
      <c r="AR18" s="168"/>
      <c r="AS18" s="200"/>
      <c r="AT18" s="240"/>
      <c r="AU18" s="241"/>
      <c r="AV18" s="241"/>
      <c r="AW18" s="242"/>
      <c r="AX18" s="214"/>
      <c r="AY18" s="214"/>
      <c r="AZ18" s="214"/>
      <c r="BA18" s="214"/>
      <c r="BB18" s="230"/>
      <c r="BC18" s="232"/>
      <c r="BF18" s="211"/>
      <c r="BG18" s="211"/>
      <c r="BH18" s="211"/>
      <c r="BI18" s="211"/>
      <c r="BJ18" s="211"/>
      <c r="BK18" s="211"/>
      <c r="BL18" s="211"/>
      <c r="BM18" s="211"/>
      <c r="BP18" s="211"/>
      <c r="BQ18" s="211"/>
      <c r="BR18" s="211"/>
      <c r="BS18" s="211"/>
      <c r="BT18" s="211"/>
      <c r="BU18" s="211"/>
      <c r="BV18" s="211"/>
      <c r="BW18" s="211"/>
      <c r="BX18" s="211"/>
      <c r="BY18" s="211"/>
      <c r="BZ18" s="211"/>
      <c r="CA18" s="211"/>
      <c r="CB18" s="211"/>
    </row>
    <row r="19" spans="3:80">
      <c r="C19" s="193"/>
      <c r="D19" s="193"/>
      <c r="E19" s="193"/>
      <c r="G19" s="269">
        <v>6</v>
      </c>
      <c r="H19" s="270"/>
      <c r="I19" s="269">
        <v>3</v>
      </c>
      <c r="J19" s="270"/>
      <c r="L19" s="193"/>
      <c r="M19" s="193"/>
      <c r="N19" s="193"/>
      <c r="O19" s="211"/>
      <c r="P19" s="211"/>
      <c r="Q19" s="211"/>
      <c r="R19" s="211"/>
      <c r="S19" s="211"/>
      <c r="T19" s="211"/>
      <c r="V19" s="214"/>
      <c r="W19" s="214"/>
      <c r="X19" s="214"/>
      <c r="Y19" s="214"/>
      <c r="Z19" s="214"/>
      <c r="AA19" s="214"/>
      <c r="AB19" s="214"/>
      <c r="AC19" s="214"/>
      <c r="AG19" s="214"/>
      <c r="AH19" s="214"/>
      <c r="AI19" s="214"/>
      <c r="AJ19" s="214"/>
      <c r="AK19" s="214"/>
      <c r="AL19" s="230"/>
      <c r="AM19" s="231"/>
      <c r="AN19" s="231"/>
      <c r="AO19" s="232"/>
      <c r="AP19" s="199"/>
      <c r="AQ19" s="168"/>
      <c r="AR19" s="168"/>
      <c r="AS19" s="200"/>
      <c r="AT19" s="240"/>
      <c r="AU19" s="241"/>
      <c r="AV19" s="241"/>
      <c r="AW19" s="242"/>
      <c r="AX19" s="214"/>
      <c r="AY19" s="214"/>
      <c r="AZ19" s="214"/>
      <c r="BA19" s="214"/>
      <c r="BB19" s="230"/>
      <c r="BC19" s="232"/>
      <c r="BF19" s="211" t="s">
        <v>31</v>
      </c>
      <c r="BG19" s="211"/>
      <c r="BH19" s="211"/>
      <c r="BI19" s="211"/>
      <c r="BJ19" s="211"/>
      <c r="BK19" s="211"/>
      <c r="BL19" s="211"/>
      <c r="BM19" s="211"/>
      <c r="BP19" s="211"/>
      <c r="BQ19" s="211"/>
      <c r="BR19" s="211"/>
      <c r="BS19" s="211"/>
      <c r="BT19" s="211"/>
      <c r="BU19" s="211"/>
      <c r="BV19" s="211"/>
      <c r="BW19" s="211"/>
      <c r="BX19" s="211"/>
      <c r="BY19" s="211"/>
      <c r="BZ19" s="211"/>
      <c r="CA19" s="211"/>
      <c r="CB19" s="211"/>
    </row>
    <row r="20" spans="3:80">
      <c r="C20" s="193"/>
      <c r="D20" s="193"/>
      <c r="E20" s="193"/>
      <c r="G20" s="269">
        <v>5</v>
      </c>
      <c r="H20" s="270"/>
      <c r="I20" s="269">
        <v>4</v>
      </c>
      <c r="J20" s="270"/>
      <c r="L20" s="193"/>
      <c r="M20" s="193"/>
      <c r="N20" s="193" t="s">
        <v>32</v>
      </c>
      <c r="O20" s="211" t="s">
        <v>33</v>
      </c>
      <c r="P20" s="211"/>
      <c r="Q20" s="211"/>
      <c r="R20" s="211"/>
      <c r="S20" s="211"/>
      <c r="T20" s="211"/>
      <c r="V20" s="214"/>
      <c r="W20" s="214"/>
      <c r="X20" s="214"/>
      <c r="Y20" s="214"/>
      <c r="Z20" s="214"/>
      <c r="AA20" s="214"/>
      <c r="AB20" s="214"/>
      <c r="AC20" s="214"/>
      <c r="AG20" s="214"/>
      <c r="AH20" s="214"/>
      <c r="AI20" s="214"/>
      <c r="AJ20" s="214"/>
      <c r="AK20" s="214"/>
      <c r="AL20" s="230"/>
      <c r="AM20" s="231"/>
      <c r="AN20" s="231"/>
      <c r="AO20" s="232"/>
      <c r="AP20" s="199"/>
      <c r="AQ20" s="168"/>
      <c r="AR20" s="168"/>
      <c r="AS20" s="200"/>
      <c r="AT20" s="240"/>
      <c r="AU20" s="241"/>
      <c r="AV20" s="241"/>
      <c r="AW20" s="242"/>
      <c r="AX20" s="214"/>
      <c r="AY20" s="214"/>
      <c r="AZ20" s="214"/>
      <c r="BA20" s="214"/>
      <c r="BB20" s="230"/>
      <c r="BC20" s="232"/>
      <c r="BF20" s="211"/>
      <c r="BG20" s="211"/>
      <c r="BH20" s="211"/>
      <c r="BI20" s="211"/>
      <c r="BJ20" s="211"/>
      <c r="BK20" s="211"/>
      <c r="BL20" s="211"/>
      <c r="BM20" s="211"/>
      <c r="BP20" s="211"/>
      <c r="BQ20" s="211"/>
      <c r="BR20" s="211"/>
      <c r="BS20" s="211"/>
      <c r="BT20" s="211"/>
      <c r="BU20" s="211"/>
      <c r="BV20" s="211"/>
      <c r="BW20" s="211"/>
      <c r="BX20" s="211"/>
      <c r="BY20" s="211"/>
      <c r="BZ20" s="211"/>
      <c r="CA20" s="211"/>
      <c r="CB20" s="211"/>
    </row>
    <row r="21" spans="3:80" ht="14.1" customHeight="1">
      <c r="C21" s="193" t="s">
        <v>34</v>
      </c>
      <c r="D21" s="193"/>
      <c r="E21" s="193"/>
      <c r="H21" s="207">
        <v>11053</v>
      </c>
      <c r="I21" s="207"/>
      <c r="L21" s="193"/>
      <c r="M21" s="193"/>
      <c r="N21" s="193"/>
      <c r="O21" s="211"/>
      <c r="P21" s="211"/>
      <c r="Q21" s="211"/>
      <c r="R21" s="211"/>
      <c r="S21" s="211"/>
      <c r="T21" s="211"/>
      <c r="V21" s="214"/>
      <c r="W21" s="214"/>
      <c r="X21" s="214"/>
      <c r="Y21" s="214"/>
      <c r="Z21" s="214"/>
      <c r="AA21" s="214"/>
      <c r="AB21" s="214"/>
      <c r="AC21" s="214"/>
      <c r="AG21" s="214"/>
      <c r="AH21" s="214"/>
      <c r="AI21" s="214"/>
      <c r="AJ21" s="214"/>
      <c r="AK21" s="214"/>
      <c r="AL21" s="230"/>
      <c r="AM21" s="231"/>
      <c r="AN21" s="231"/>
      <c r="AO21" s="232"/>
      <c r="AP21" s="199"/>
      <c r="AQ21" s="168"/>
      <c r="AR21" s="168"/>
      <c r="AS21" s="200"/>
      <c r="AT21" s="240"/>
      <c r="AU21" s="241"/>
      <c r="AV21" s="241"/>
      <c r="AW21" s="242"/>
      <c r="AX21" s="214"/>
      <c r="AY21" s="214"/>
      <c r="AZ21" s="214"/>
      <c r="BA21" s="214"/>
      <c r="BB21" s="230"/>
      <c r="BC21" s="232"/>
      <c r="BF21" s="211"/>
      <c r="BG21" s="211"/>
      <c r="BH21" s="211"/>
      <c r="BI21" s="211"/>
      <c r="BJ21" s="211"/>
      <c r="BK21" s="211"/>
      <c r="BL21" s="211"/>
      <c r="BM21" s="211"/>
      <c r="BP21" s="211" t="s">
        <v>35</v>
      </c>
      <c r="BQ21" s="211"/>
      <c r="BR21" s="211"/>
      <c r="BS21" s="193" t="s">
        <v>36</v>
      </c>
      <c r="BT21" s="211"/>
      <c r="BU21" s="211"/>
      <c r="BV21" s="211"/>
      <c r="BW21" s="211"/>
      <c r="BX21" s="193" t="s">
        <v>37</v>
      </c>
      <c r="BY21" s="211"/>
      <c r="BZ21" s="211"/>
      <c r="CA21" s="211"/>
      <c r="CB21" s="211"/>
    </row>
    <row r="22" spans="3:80">
      <c r="C22" s="193"/>
      <c r="D22" s="193"/>
      <c r="E22" s="193"/>
      <c r="G22" s="269">
        <v>1</v>
      </c>
      <c r="H22" s="270"/>
      <c r="I22" s="269">
        <v>2</v>
      </c>
      <c r="J22" s="270"/>
      <c r="L22" s="193" t="s">
        <v>38</v>
      </c>
      <c r="M22" s="193"/>
      <c r="N22" s="193"/>
      <c r="O22" s="211"/>
      <c r="P22" s="211"/>
      <c r="Q22" s="211"/>
      <c r="R22" s="211"/>
      <c r="S22" s="211"/>
      <c r="T22" s="211"/>
      <c r="V22" s="214"/>
      <c r="W22" s="214"/>
      <c r="X22" s="214"/>
      <c r="Y22" s="214"/>
      <c r="Z22" s="214"/>
      <c r="AA22" s="214"/>
      <c r="AB22" s="214"/>
      <c r="AC22" s="214"/>
      <c r="AG22" s="214"/>
      <c r="AH22" s="214"/>
      <c r="AI22" s="214"/>
      <c r="AJ22" s="214"/>
      <c r="AK22" s="214"/>
      <c r="AL22" s="230"/>
      <c r="AM22" s="231"/>
      <c r="AN22" s="231"/>
      <c r="AO22" s="232"/>
      <c r="AP22" s="199"/>
      <c r="AQ22" s="168"/>
      <c r="AR22" s="168"/>
      <c r="AS22" s="200"/>
      <c r="AT22" s="240"/>
      <c r="AU22" s="241"/>
      <c r="AV22" s="241"/>
      <c r="AW22" s="242"/>
      <c r="AX22" s="214"/>
      <c r="AY22" s="214"/>
      <c r="AZ22" s="214"/>
      <c r="BA22" s="214"/>
      <c r="BB22" s="230"/>
      <c r="BC22" s="232"/>
      <c r="BF22" s="211"/>
      <c r="BG22" s="211"/>
      <c r="BH22" s="211"/>
      <c r="BI22" s="211"/>
      <c r="BJ22" s="211"/>
      <c r="BK22" s="211"/>
      <c r="BL22" s="211"/>
      <c r="BM22" s="211"/>
      <c r="BP22" s="211"/>
      <c r="BQ22" s="211"/>
      <c r="BR22" s="211"/>
      <c r="BS22" s="211"/>
      <c r="BT22" s="211"/>
      <c r="BU22" s="211"/>
      <c r="BV22" s="211"/>
      <c r="BW22" s="211"/>
      <c r="BX22" s="211"/>
      <c r="BY22" s="211"/>
      <c r="BZ22" s="211"/>
      <c r="CA22" s="211"/>
      <c r="CB22" s="211"/>
    </row>
    <row r="23" spans="3:80">
      <c r="C23" s="193"/>
      <c r="D23" s="193"/>
      <c r="E23" s="193"/>
      <c r="G23" s="269">
        <v>6</v>
      </c>
      <c r="H23" s="270"/>
      <c r="I23" s="269">
        <v>3</v>
      </c>
      <c r="J23" s="270"/>
      <c r="L23" s="193"/>
      <c r="M23" s="193"/>
      <c r="N23" s="193"/>
      <c r="O23" s="211"/>
      <c r="P23" s="211"/>
      <c r="Q23" s="211"/>
      <c r="R23" s="211"/>
      <c r="S23" s="211"/>
      <c r="T23" s="211"/>
      <c r="V23" s="214"/>
      <c r="W23" s="214"/>
      <c r="X23" s="214"/>
      <c r="Y23" s="214"/>
      <c r="Z23" s="214"/>
      <c r="AA23" s="214"/>
      <c r="AB23" s="214"/>
      <c r="AC23" s="214"/>
      <c r="AG23" s="214"/>
      <c r="AH23" s="214"/>
      <c r="AI23" s="214"/>
      <c r="AJ23" s="214"/>
      <c r="AK23" s="214"/>
      <c r="AL23" s="230"/>
      <c r="AM23" s="231"/>
      <c r="AN23" s="231"/>
      <c r="AO23" s="232"/>
      <c r="AP23" s="199"/>
      <c r="AQ23" s="168"/>
      <c r="AR23" s="168"/>
      <c r="AS23" s="200"/>
      <c r="AT23" s="240"/>
      <c r="AU23" s="241"/>
      <c r="AV23" s="241"/>
      <c r="AW23" s="242"/>
      <c r="AX23" s="214"/>
      <c r="AY23" s="214"/>
      <c r="AZ23" s="214"/>
      <c r="BA23" s="214"/>
      <c r="BB23" s="233"/>
      <c r="BC23" s="235"/>
      <c r="BF23" s="211" t="s">
        <v>39</v>
      </c>
      <c r="BG23" s="211"/>
      <c r="BH23" s="211"/>
      <c r="BI23" s="211"/>
      <c r="BJ23" s="211" t="s">
        <v>40</v>
      </c>
      <c r="BK23" s="211"/>
      <c r="BL23" s="211"/>
      <c r="BM23" s="211"/>
      <c r="BP23" s="211"/>
      <c r="BQ23" s="211"/>
      <c r="BR23" s="211"/>
      <c r="BS23" s="211"/>
      <c r="BT23" s="211"/>
      <c r="BU23" s="211"/>
      <c r="BV23" s="211"/>
      <c r="BW23" s="211"/>
      <c r="BX23" s="211"/>
      <c r="BY23" s="211"/>
      <c r="BZ23" s="211"/>
      <c r="CA23" s="211"/>
      <c r="CB23" s="211"/>
    </row>
    <row r="24" spans="3:80">
      <c r="C24" s="193"/>
      <c r="D24" s="193"/>
      <c r="E24" s="193"/>
      <c r="G24" s="269">
        <v>5</v>
      </c>
      <c r="H24" s="270"/>
      <c r="I24" s="269">
        <v>4</v>
      </c>
      <c r="J24" s="270"/>
      <c r="L24" s="193"/>
      <c r="M24" s="193"/>
      <c r="N24" s="193"/>
      <c r="O24" s="211"/>
      <c r="P24" s="211"/>
      <c r="Q24" s="211"/>
      <c r="R24" s="211"/>
      <c r="S24" s="211"/>
      <c r="T24" s="211"/>
      <c r="V24" s="214"/>
      <c r="W24" s="214"/>
      <c r="X24" s="214"/>
      <c r="Y24" s="214"/>
      <c r="Z24" s="214"/>
      <c r="AA24" s="214"/>
      <c r="AB24" s="214"/>
      <c r="AC24" s="214"/>
      <c r="AG24" s="214"/>
      <c r="AH24" s="214"/>
      <c r="AI24" s="214"/>
      <c r="AJ24" s="214"/>
      <c r="AK24" s="214"/>
      <c r="AL24" s="230"/>
      <c r="AM24" s="231"/>
      <c r="AN24" s="231"/>
      <c r="AO24" s="232"/>
      <c r="AP24" s="199"/>
      <c r="AQ24" s="168"/>
      <c r="AR24" s="168"/>
      <c r="AS24" s="200"/>
      <c r="AT24" s="240"/>
      <c r="AU24" s="241"/>
      <c r="AV24" s="241"/>
      <c r="AW24" s="242"/>
      <c r="AX24" s="214"/>
      <c r="AY24" s="214"/>
      <c r="AZ24" s="214"/>
      <c r="BA24" s="214"/>
      <c r="BF24" s="211"/>
      <c r="BG24" s="211"/>
      <c r="BH24" s="211"/>
      <c r="BI24" s="211"/>
      <c r="BJ24" s="211"/>
      <c r="BK24" s="211"/>
      <c r="BL24" s="211"/>
      <c r="BM24" s="211"/>
      <c r="BP24" s="211"/>
      <c r="BQ24" s="211"/>
      <c r="BR24" s="211"/>
      <c r="BS24" s="211"/>
      <c r="BT24" s="211"/>
      <c r="BU24" s="211"/>
      <c r="BV24" s="211"/>
      <c r="BW24" s="211"/>
      <c r="BX24" s="211"/>
      <c r="BY24" s="211"/>
      <c r="BZ24" s="211"/>
      <c r="CA24" s="211"/>
      <c r="CB24" s="211"/>
    </row>
    <row r="25" spans="3:80">
      <c r="C25" s="193"/>
      <c r="D25" s="193"/>
      <c r="E25" s="193"/>
      <c r="H25" s="187">
        <v>11052</v>
      </c>
      <c r="I25" s="187"/>
      <c r="L25" s="193"/>
      <c r="M25" s="193"/>
      <c r="N25" s="193"/>
      <c r="O25" s="211"/>
      <c r="P25" s="211"/>
      <c r="Q25" s="211"/>
      <c r="R25" s="211"/>
      <c r="S25" s="211"/>
      <c r="T25" s="211"/>
      <c r="V25" s="214"/>
      <c r="W25" s="214"/>
      <c r="X25" s="214"/>
      <c r="Y25" s="214"/>
      <c r="Z25" s="214"/>
      <c r="AA25" s="214"/>
      <c r="AB25" s="214"/>
      <c r="AC25" s="214"/>
      <c r="AG25" s="214"/>
      <c r="AH25" s="214"/>
      <c r="AI25" s="214"/>
      <c r="AJ25" s="214"/>
      <c r="AK25" s="214"/>
      <c r="AL25" s="233"/>
      <c r="AM25" s="234"/>
      <c r="AN25" s="234"/>
      <c r="AO25" s="235"/>
      <c r="AP25" s="201"/>
      <c r="AQ25" s="202"/>
      <c r="AR25" s="202"/>
      <c r="AS25" s="203"/>
      <c r="AT25" s="243"/>
      <c r="AU25" s="244"/>
      <c r="AV25" s="244"/>
      <c r="AW25" s="245"/>
      <c r="AX25" s="214"/>
      <c r="AY25" s="214"/>
      <c r="AZ25" s="214"/>
      <c r="BA25" s="214"/>
      <c r="BP25" s="211"/>
      <c r="BQ25" s="211"/>
      <c r="BR25" s="211"/>
      <c r="BS25" s="211"/>
      <c r="BT25" s="211"/>
      <c r="BU25" s="211"/>
      <c r="BV25" s="211"/>
      <c r="BW25" s="211"/>
      <c r="BX25" s="211"/>
      <c r="BY25" s="211"/>
      <c r="BZ25" s="211"/>
      <c r="CA25" s="211"/>
      <c r="CB25" s="211"/>
    </row>
    <row r="26" spans="3:80">
      <c r="C26" s="3"/>
      <c r="D26" s="3"/>
      <c r="E26" s="3"/>
      <c r="L26" s="3"/>
      <c r="M26" s="3"/>
      <c r="N26" s="3"/>
    </row>
    <row r="27" spans="3:80" ht="14.1" customHeight="1">
      <c r="I27" s="206">
        <v>11045</v>
      </c>
      <c r="J27" s="206"/>
      <c r="BH27" s="222" t="s">
        <v>41</v>
      </c>
      <c r="BI27" s="222"/>
      <c r="BJ27" s="222"/>
      <c r="BN27" s="3"/>
    </row>
    <row r="28" spans="3:80" ht="18.95" customHeight="1">
      <c r="C28" s="65">
        <v>1</v>
      </c>
      <c r="D28" s="65">
        <v>2</v>
      </c>
      <c r="E28" s="65">
        <v>3</v>
      </c>
      <c r="G28" s="271">
        <v>7</v>
      </c>
      <c r="H28" s="272"/>
      <c r="I28" s="271">
        <v>8</v>
      </c>
      <c r="J28" s="272"/>
      <c r="K28" s="273">
        <v>9</v>
      </c>
      <c r="L28" s="273"/>
      <c r="N28" s="20">
        <v>1</v>
      </c>
      <c r="O28" s="20">
        <v>5</v>
      </c>
      <c r="Q28" s="20">
        <v>1</v>
      </c>
      <c r="R28" s="20">
        <v>5</v>
      </c>
      <c r="S28" s="21"/>
      <c r="T28" s="58">
        <v>1</v>
      </c>
      <c r="U28" s="58">
        <v>5</v>
      </c>
      <c r="W28" s="58">
        <v>1</v>
      </c>
      <c r="X28" s="58">
        <v>5</v>
      </c>
      <c r="AC28" s="58">
        <v>1</v>
      </c>
      <c r="AD28" s="58">
        <v>5</v>
      </c>
      <c r="AE28" s="21"/>
      <c r="AF28" s="58">
        <v>1</v>
      </c>
      <c r="AG28" s="58">
        <v>5</v>
      </c>
      <c r="AH28" s="21"/>
      <c r="AI28" s="21"/>
      <c r="AJ28" s="58">
        <v>1</v>
      </c>
      <c r="AK28" s="58">
        <v>5</v>
      </c>
      <c r="AL28" s="21"/>
      <c r="AM28" s="21"/>
      <c r="AN28" s="58">
        <v>1</v>
      </c>
      <c r="AO28" s="58">
        <v>5</v>
      </c>
      <c r="AP28" s="21"/>
      <c r="AQ28" s="21"/>
      <c r="AR28" s="59">
        <v>1</v>
      </c>
      <c r="AS28" s="59">
        <v>5</v>
      </c>
      <c r="AT28" s="21"/>
      <c r="AU28" s="21"/>
      <c r="AV28" s="59">
        <v>1</v>
      </c>
      <c r="AW28" s="59">
        <v>5</v>
      </c>
      <c r="AX28" s="21"/>
      <c r="AY28" s="21"/>
      <c r="AZ28" s="59">
        <v>1</v>
      </c>
      <c r="BA28" s="59">
        <v>5</v>
      </c>
      <c r="BF28" s="2"/>
      <c r="BG28" s="2"/>
      <c r="BH28" s="2"/>
      <c r="BI28" s="2"/>
      <c r="BJ28" s="2"/>
      <c r="BK28" s="2"/>
      <c r="BL28" s="2"/>
      <c r="BN28" s="3"/>
      <c r="BP28" s="22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18"/>
    </row>
    <row r="29" spans="3:80" ht="14.45" customHeight="1">
      <c r="C29" s="65">
        <v>6</v>
      </c>
      <c r="D29" s="65">
        <v>5</v>
      </c>
      <c r="E29" s="65">
        <v>4</v>
      </c>
      <c r="G29" s="271">
        <v>6</v>
      </c>
      <c r="H29" s="272"/>
      <c r="I29" s="271">
        <v>5</v>
      </c>
      <c r="J29" s="272"/>
      <c r="K29" s="273">
        <v>4</v>
      </c>
      <c r="L29" s="273"/>
      <c r="N29" s="20">
        <v>2</v>
      </c>
      <c r="O29" s="20">
        <v>6</v>
      </c>
      <c r="Q29" s="20">
        <v>2</v>
      </c>
      <c r="R29" s="20">
        <v>6</v>
      </c>
      <c r="S29" s="21"/>
      <c r="T29" s="58">
        <v>2</v>
      </c>
      <c r="U29" s="58">
        <v>6</v>
      </c>
      <c r="W29" s="58">
        <v>2</v>
      </c>
      <c r="X29" s="58">
        <v>6</v>
      </c>
      <c r="Y29" s="223" t="s">
        <v>42</v>
      </c>
      <c r="Z29" s="204"/>
      <c r="AA29" s="204"/>
      <c r="AB29" s="224"/>
      <c r="AC29" s="58">
        <v>2</v>
      </c>
      <c r="AD29" s="58">
        <v>6</v>
      </c>
      <c r="AE29" s="21"/>
      <c r="AF29" s="58">
        <v>2</v>
      </c>
      <c r="AG29" s="58">
        <v>6</v>
      </c>
      <c r="AH29" s="21"/>
      <c r="AI29" s="21"/>
      <c r="AJ29" s="58">
        <v>2</v>
      </c>
      <c r="AK29" s="58">
        <v>6</v>
      </c>
      <c r="AL29" s="21"/>
      <c r="AM29" s="21"/>
      <c r="AN29" s="58">
        <v>2</v>
      </c>
      <c r="AO29" s="58">
        <v>6</v>
      </c>
      <c r="AP29" s="21"/>
      <c r="AQ29" s="21"/>
      <c r="AR29" s="59">
        <v>2</v>
      </c>
      <c r="AS29" s="59">
        <v>6</v>
      </c>
      <c r="AT29" s="21"/>
      <c r="AU29" s="21"/>
      <c r="AV29" s="59">
        <v>2</v>
      </c>
      <c r="AW29" s="59">
        <v>6</v>
      </c>
      <c r="AX29" s="21"/>
      <c r="AY29" s="21"/>
      <c r="AZ29" s="59">
        <v>2</v>
      </c>
      <c r="BA29" s="59">
        <v>6</v>
      </c>
      <c r="BF29" s="274" t="s">
        <v>43</v>
      </c>
      <c r="BG29" s="274"/>
      <c r="BH29" s="274"/>
      <c r="BI29" s="274"/>
      <c r="BJ29" s="193" t="s">
        <v>44</v>
      </c>
      <c r="BK29" s="193"/>
      <c r="BL29" s="193"/>
      <c r="BM29" s="193"/>
      <c r="BN29" s="3"/>
      <c r="BP29" s="8"/>
      <c r="BQ29" s="78">
        <v>1</v>
      </c>
      <c r="BR29" s="78">
        <v>2</v>
      </c>
      <c r="BS29" s="78">
        <v>3</v>
      </c>
      <c r="BT29" s="78">
        <v>4</v>
      </c>
      <c r="BW29" s="78">
        <v>9</v>
      </c>
      <c r="BX29" s="78">
        <v>10</v>
      </c>
      <c r="BY29" s="78">
        <v>11</v>
      </c>
      <c r="BZ29" s="78">
        <v>12</v>
      </c>
      <c r="CB29" s="78">
        <v>17</v>
      </c>
    </row>
    <row r="30" spans="3:80" ht="14.45" customHeight="1">
      <c r="C30" s="207">
        <v>11049</v>
      </c>
      <c r="D30" s="207"/>
      <c r="E30" s="207"/>
      <c r="G30" s="271">
        <v>1</v>
      </c>
      <c r="H30" s="272"/>
      <c r="I30" s="271">
        <v>2</v>
      </c>
      <c r="J30" s="272"/>
      <c r="K30" s="273">
        <v>3</v>
      </c>
      <c r="L30" s="273"/>
      <c r="N30" s="20">
        <v>3</v>
      </c>
      <c r="O30" s="20">
        <v>7</v>
      </c>
      <c r="Q30" s="20">
        <v>3</v>
      </c>
      <c r="R30" s="20">
        <v>7</v>
      </c>
      <c r="S30" s="21"/>
      <c r="T30" s="58">
        <v>3</v>
      </c>
      <c r="U30" s="58">
        <v>7</v>
      </c>
      <c r="W30" s="58">
        <v>3</v>
      </c>
      <c r="X30" s="58">
        <v>7</v>
      </c>
      <c r="AC30" s="58">
        <v>3</v>
      </c>
      <c r="AD30" s="58">
        <v>7</v>
      </c>
      <c r="AE30" s="21"/>
      <c r="AF30" s="58">
        <v>3</v>
      </c>
      <c r="AG30" s="58">
        <v>7</v>
      </c>
      <c r="AH30" s="21"/>
      <c r="AI30" s="21"/>
      <c r="AJ30" s="58">
        <v>3</v>
      </c>
      <c r="AK30" s="58">
        <v>7</v>
      </c>
      <c r="AL30" s="21"/>
      <c r="AM30" s="21"/>
      <c r="AN30" s="58">
        <v>3</v>
      </c>
      <c r="AO30" s="58">
        <v>7</v>
      </c>
      <c r="AP30" s="21"/>
      <c r="AQ30" s="21"/>
      <c r="AR30" s="59">
        <v>3</v>
      </c>
      <c r="AS30" s="59">
        <v>7</v>
      </c>
      <c r="AT30" s="21"/>
      <c r="AU30" s="21"/>
      <c r="AV30" s="59">
        <v>3</v>
      </c>
      <c r="AW30" s="59">
        <v>7</v>
      </c>
      <c r="AX30" s="21"/>
      <c r="AY30" s="21"/>
      <c r="AZ30" s="59">
        <v>3</v>
      </c>
      <c r="BA30" s="59">
        <v>7</v>
      </c>
      <c r="BF30" s="274"/>
      <c r="BG30" s="274"/>
      <c r="BH30" s="274"/>
      <c r="BI30" s="274"/>
      <c r="BJ30" s="193"/>
      <c r="BK30" s="193"/>
      <c r="BL30" s="193"/>
      <c r="BM30" s="193"/>
      <c r="BN30" s="3"/>
      <c r="BP30" s="8"/>
      <c r="BQ30" s="78">
        <v>5</v>
      </c>
      <c r="BR30" s="78">
        <v>6</v>
      </c>
      <c r="BS30" s="78">
        <v>7</v>
      </c>
      <c r="BT30" s="78">
        <v>8</v>
      </c>
      <c r="BU30" s="219">
        <v>11015</v>
      </c>
      <c r="BV30" s="220"/>
      <c r="BW30" s="78">
        <v>13</v>
      </c>
      <c r="BX30" s="78">
        <v>14</v>
      </c>
      <c r="BY30" s="78">
        <v>15</v>
      </c>
      <c r="BZ30" s="78">
        <v>16</v>
      </c>
      <c r="CB30" s="78">
        <v>18</v>
      </c>
    </row>
    <row r="31" spans="3:80" ht="14.1" customHeight="1">
      <c r="C31" s="65">
        <v>7</v>
      </c>
      <c r="D31" s="65">
        <v>8</v>
      </c>
      <c r="E31" s="65">
        <v>9</v>
      </c>
      <c r="G31" s="221" t="s">
        <v>45</v>
      </c>
      <c r="H31" s="221"/>
      <c r="I31" s="221"/>
      <c r="J31" s="221"/>
      <c r="K31" s="221"/>
      <c r="L31" s="221"/>
      <c r="N31" s="20">
        <v>4</v>
      </c>
      <c r="O31" s="20">
        <v>8</v>
      </c>
      <c r="Q31" s="20">
        <v>4</v>
      </c>
      <c r="R31" s="20">
        <v>8</v>
      </c>
      <c r="S31" s="21"/>
      <c r="T31" s="58">
        <v>4</v>
      </c>
      <c r="U31" s="58">
        <v>8</v>
      </c>
      <c r="W31" s="58">
        <v>4</v>
      </c>
      <c r="X31" s="58">
        <v>8</v>
      </c>
      <c r="AC31" s="58">
        <v>4</v>
      </c>
      <c r="AD31" s="58">
        <v>8</v>
      </c>
      <c r="AE31" s="21"/>
      <c r="AF31" s="58">
        <v>4</v>
      </c>
      <c r="AG31" s="58">
        <v>8</v>
      </c>
      <c r="AH31" s="21"/>
      <c r="AI31" s="21"/>
      <c r="AJ31" s="58">
        <v>4</v>
      </c>
      <c r="AK31" s="58">
        <v>8</v>
      </c>
      <c r="AL31" s="21"/>
      <c r="AM31" s="21"/>
      <c r="AN31" s="58">
        <v>4</v>
      </c>
      <c r="AO31" s="58">
        <v>8</v>
      </c>
      <c r="AP31" s="21"/>
      <c r="AQ31" s="21"/>
      <c r="AR31" s="59">
        <v>4</v>
      </c>
      <c r="AS31" s="59">
        <v>8</v>
      </c>
      <c r="AT31" s="21"/>
      <c r="AU31" s="21"/>
      <c r="AV31" s="59">
        <v>4</v>
      </c>
      <c r="AW31" s="59">
        <v>8</v>
      </c>
      <c r="AX31" s="21"/>
      <c r="AY31" s="21"/>
      <c r="AZ31" s="59">
        <v>4</v>
      </c>
      <c r="BA31" s="59">
        <v>8</v>
      </c>
      <c r="BF31" s="274"/>
      <c r="BG31" s="274"/>
      <c r="BH31" s="274"/>
      <c r="BI31" s="274"/>
      <c r="BJ31" s="193"/>
      <c r="BK31" s="193"/>
      <c r="BL31" s="193"/>
      <c r="BM31" s="193"/>
      <c r="BN31" s="3"/>
      <c r="BP31" s="8"/>
      <c r="CB31" s="9"/>
    </row>
    <row r="32" spans="3:80">
      <c r="C32" s="65">
        <v>12</v>
      </c>
      <c r="D32" s="65">
        <v>11</v>
      </c>
      <c r="E32" s="65">
        <v>10</v>
      </c>
      <c r="I32" s="206">
        <v>11046</v>
      </c>
      <c r="J32" s="206"/>
      <c r="N32" s="187">
        <v>11042</v>
      </c>
      <c r="O32" s="187"/>
      <c r="P32" s="24"/>
      <c r="Q32" s="187">
        <v>11040</v>
      </c>
      <c r="R32" s="187"/>
      <c r="S32" s="24"/>
      <c r="T32" s="187">
        <v>11037</v>
      </c>
      <c r="U32" s="187"/>
      <c r="V32" s="24"/>
      <c r="W32" s="187">
        <v>11036</v>
      </c>
      <c r="X32" s="187"/>
      <c r="Y32" s="24"/>
      <c r="Z32" s="24"/>
      <c r="AA32" s="24"/>
      <c r="AB32" s="24"/>
      <c r="AC32" s="187">
        <v>11034</v>
      </c>
      <c r="AD32" s="187"/>
      <c r="AE32" s="24"/>
      <c r="AF32" s="187">
        <v>11033</v>
      </c>
      <c r="AG32" s="187"/>
      <c r="AH32" s="24"/>
      <c r="AI32" s="24"/>
      <c r="AJ32" s="187">
        <v>11029</v>
      </c>
      <c r="AK32" s="187"/>
      <c r="AL32" s="24"/>
      <c r="AM32" s="24"/>
      <c r="AN32" s="187">
        <v>11028</v>
      </c>
      <c r="AO32" s="187"/>
      <c r="AP32" s="24"/>
      <c r="AQ32" s="24"/>
      <c r="AR32" s="187">
        <v>11026</v>
      </c>
      <c r="AS32" s="187"/>
      <c r="AT32" s="24"/>
      <c r="AU32" s="24"/>
      <c r="AV32" s="187">
        <v>11024</v>
      </c>
      <c r="AW32" s="187"/>
      <c r="AX32" s="24"/>
      <c r="AY32" s="24"/>
      <c r="AZ32" s="187">
        <v>11021</v>
      </c>
      <c r="BA32" s="187"/>
      <c r="BF32" s="196" t="s">
        <v>46</v>
      </c>
      <c r="BG32" s="197"/>
      <c r="BH32" s="197"/>
      <c r="BI32" s="198"/>
      <c r="BJ32" s="196" t="s">
        <v>47</v>
      </c>
      <c r="BK32" s="197"/>
      <c r="BL32" s="197"/>
      <c r="BM32" s="198"/>
      <c r="BN32" s="3"/>
      <c r="BP32" s="8"/>
      <c r="BQ32" s="204" t="s">
        <v>48</v>
      </c>
      <c r="BR32" s="204"/>
      <c r="BS32" s="204"/>
      <c r="BT32" s="204"/>
      <c r="BU32" s="204"/>
      <c r="BV32" s="204"/>
      <c r="BW32" s="204"/>
      <c r="BX32" s="204"/>
      <c r="BY32" s="204"/>
      <c r="BZ32" s="204"/>
      <c r="CA32" s="204"/>
      <c r="CB32" s="9"/>
    </row>
    <row r="33" spans="3:80" ht="14.45" customHeight="1">
      <c r="C33" s="207">
        <v>11049</v>
      </c>
      <c r="D33" s="207"/>
      <c r="E33" s="207"/>
      <c r="G33" s="267">
        <v>7</v>
      </c>
      <c r="H33" s="268"/>
      <c r="I33" s="267">
        <v>8</v>
      </c>
      <c r="J33" s="268"/>
      <c r="K33" s="266">
        <v>9</v>
      </c>
      <c r="L33" s="266"/>
      <c r="X33" s="204" t="s">
        <v>49</v>
      </c>
      <c r="Y33" s="204"/>
      <c r="Z33" s="204"/>
      <c r="AA33" s="204"/>
      <c r="AB33" s="204"/>
      <c r="AC33" s="204"/>
      <c r="AD33" s="204"/>
      <c r="BF33" s="199"/>
      <c r="BG33" s="168"/>
      <c r="BH33" s="168"/>
      <c r="BI33" s="200"/>
      <c r="BJ33" s="199"/>
      <c r="BK33" s="168"/>
      <c r="BL33" s="168"/>
      <c r="BM33" s="200"/>
      <c r="BN33" s="3"/>
      <c r="BP33" s="8"/>
      <c r="BQ33" s="78">
        <v>19</v>
      </c>
      <c r="BR33" s="78">
        <v>23</v>
      </c>
      <c r="BT33" s="78">
        <v>27</v>
      </c>
      <c r="BU33" s="78">
        <v>31</v>
      </c>
      <c r="BW33" s="78">
        <v>35</v>
      </c>
      <c r="BX33" s="78">
        <v>39</v>
      </c>
      <c r="BZ33" s="78">
        <v>43</v>
      </c>
      <c r="CA33" s="78">
        <v>47</v>
      </c>
      <c r="CB33" s="9"/>
    </row>
    <row r="34" spans="3:80">
      <c r="C34" s="65">
        <v>15</v>
      </c>
      <c r="D34" s="65">
        <v>14</v>
      </c>
      <c r="E34" s="65">
        <v>13</v>
      </c>
      <c r="G34" s="267">
        <v>6</v>
      </c>
      <c r="H34" s="268"/>
      <c r="I34" s="267">
        <v>5</v>
      </c>
      <c r="J34" s="268"/>
      <c r="K34" s="266">
        <v>4</v>
      </c>
      <c r="L34" s="266"/>
      <c r="N34" s="20">
        <v>1</v>
      </c>
      <c r="O34" s="20">
        <v>2</v>
      </c>
      <c r="P34" s="20">
        <v>3</v>
      </c>
      <c r="Q34" s="20">
        <v>4</v>
      </c>
      <c r="S34" s="20">
        <v>1</v>
      </c>
      <c r="T34" s="20">
        <v>2</v>
      </c>
      <c r="U34" s="20">
        <v>3</v>
      </c>
      <c r="V34" s="20">
        <v>4</v>
      </c>
      <c r="X34" s="58">
        <v>1</v>
      </c>
      <c r="Y34" s="58">
        <v>2</v>
      </c>
      <c r="Z34" s="58">
        <v>3</v>
      </c>
      <c r="AA34" s="58">
        <v>4</v>
      </c>
      <c r="AD34" s="58">
        <v>1</v>
      </c>
      <c r="AE34" s="58">
        <v>2</v>
      </c>
      <c r="AF34" s="58">
        <v>3</v>
      </c>
      <c r="AG34" s="58">
        <v>4</v>
      </c>
      <c r="AH34" s="21"/>
      <c r="AI34" s="58">
        <v>1</v>
      </c>
      <c r="AJ34" s="58">
        <v>2</v>
      </c>
      <c r="AK34" s="58">
        <v>3</v>
      </c>
      <c r="AL34" s="58">
        <v>4</v>
      </c>
      <c r="AM34" s="21"/>
      <c r="AN34" s="68">
        <v>1</v>
      </c>
      <c r="AO34" s="68">
        <v>2</v>
      </c>
      <c r="AP34" s="68">
        <v>3</v>
      </c>
      <c r="AQ34" s="68">
        <v>4</v>
      </c>
      <c r="AR34" s="21"/>
      <c r="AS34" s="68">
        <v>1</v>
      </c>
      <c r="AT34" s="68">
        <v>2</v>
      </c>
      <c r="AU34" s="68">
        <v>3</v>
      </c>
      <c r="AV34" s="68">
        <v>4</v>
      </c>
      <c r="AW34" s="21"/>
      <c r="AX34" s="59">
        <v>1</v>
      </c>
      <c r="AY34" s="59">
        <v>2</v>
      </c>
      <c r="AZ34" s="59">
        <v>3</v>
      </c>
      <c r="BA34" s="59">
        <v>4</v>
      </c>
      <c r="BF34" s="199"/>
      <c r="BG34" s="168"/>
      <c r="BH34" s="168"/>
      <c r="BI34" s="200"/>
      <c r="BJ34" s="199"/>
      <c r="BK34" s="168"/>
      <c r="BL34" s="168"/>
      <c r="BM34" s="200"/>
      <c r="BN34" s="3"/>
      <c r="BP34" s="8"/>
      <c r="BQ34" s="78">
        <v>20</v>
      </c>
      <c r="BR34" s="78">
        <v>24</v>
      </c>
      <c r="BT34" s="78">
        <v>28</v>
      </c>
      <c r="BU34" s="78">
        <v>32</v>
      </c>
      <c r="BW34" s="78">
        <v>36</v>
      </c>
      <c r="BX34" s="78">
        <v>40</v>
      </c>
      <c r="BZ34" s="78">
        <v>44</v>
      </c>
      <c r="CA34" s="78">
        <v>48</v>
      </c>
      <c r="CB34" s="9"/>
    </row>
    <row r="35" spans="3:80">
      <c r="C35" s="193" t="s">
        <v>50</v>
      </c>
      <c r="D35" s="193"/>
      <c r="E35" s="193"/>
      <c r="G35" s="267">
        <v>1</v>
      </c>
      <c r="H35" s="268"/>
      <c r="I35" s="267">
        <v>2</v>
      </c>
      <c r="J35" s="268"/>
      <c r="K35" s="266">
        <v>3</v>
      </c>
      <c r="L35" s="266"/>
      <c r="N35" s="20">
        <v>8</v>
      </c>
      <c r="O35" s="20">
        <v>7</v>
      </c>
      <c r="P35" s="20">
        <v>6</v>
      </c>
      <c r="Q35" s="20">
        <v>5</v>
      </c>
      <c r="S35" s="20">
        <v>8</v>
      </c>
      <c r="T35" s="20">
        <v>7</v>
      </c>
      <c r="U35" s="20">
        <v>6</v>
      </c>
      <c r="V35" s="20">
        <v>5</v>
      </c>
      <c r="X35" s="58">
        <v>8</v>
      </c>
      <c r="Y35" s="58">
        <v>7</v>
      </c>
      <c r="Z35" s="58">
        <v>6</v>
      </c>
      <c r="AA35" s="58">
        <v>5</v>
      </c>
      <c r="AD35" s="58">
        <v>8</v>
      </c>
      <c r="AE35" s="58">
        <v>7</v>
      </c>
      <c r="AF35" s="58">
        <v>6</v>
      </c>
      <c r="AG35" s="58">
        <v>5</v>
      </c>
      <c r="AH35" s="21"/>
      <c r="AI35" s="58">
        <v>8</v>
      </c>
      <c r="AJ35" s="58">
        <v>7</v>
      </c>
      <c r="AK35" s="58">
        <v>6</v>
      </c>
      <c r="AL35" s="58">
        <v>5</v>
      </c>
      <c r="AM35" s="21"/>
      <c r="AN35" s="68">
        <v>8</v>
      </c>
      <c r="AO35" s="68">
        <v>7</v>
      </c>
      <c r="AP35" s="68">
        <v>6</v>
      </c>
      <c r="AQ35" s="68">
        <v>5</v>
      </c>
      <c r="AR35" s="21"/>
      <c r="AS35" s="68">
        <v>8</v>
      </c>
      <c r="AT35" s="68">
        <v>7</v>
      </c>
      <c r="AU35" s="68">
        <v>6</v>
      </c>
      <c r="AV35" s="68">
        <v>5</v>
      </c>
      <c r="AW35" s="21"/>
      <c r="AX35" s="59">
        <v>8</v>
      </c>
      <c r="AY35" s="59">
        <v>7</v>
      </c>
      <c r="AZ35" s="59">
        <v>6</v>
      </c>
      <c r="BA35" s="59">
        <v>5</v>
      </c>
      <c r="BF35" s="201"/>
      <c r="BG35" s="202"/>
      <c r="BH35" s="202"/>
      <c r="BI35" s="203"/>
      <c r="BJ35" s="201"/>
      <c r="BK35" s="202"/>
      <c r="BL35" s="202"/>
      <c r="BM35" s="203"/>
      <c r="BP35" s="8"/>
      <c r="BQ35" s="78">
        <v>21</v>
      </c>
      <c r="BR35" s="78">
        <v>25</v>
      </c>
      <c r="BT35" s="78">
        <v>29</v>
      </c>
      <c r="BU35" s="78">
        <v>33</v>
      </c>
      <c r="BW35" s="78">
        <v>37</v>
      </c>
      <c r="BX35" s="78">
        <v>41</v>
      </c>
      <c r="BZ35" s="78">
        <v>45</v>
      </c>
      <c r="CA35" s="78">
        <v>49</v>
      </c>
      <c r="CB35" s="9"/>
    </row>
    <row r="36" spans="3:80">
      <c r="C36" s="193"/>
      <c r="D36" s="193"/>
      <c r="E36" s="193"/>
      <c r="M36" s="24"/>
      <c r="N36" s="187">
        <v>11041</v>
      </c>
      <c r="O36" s="187"/>
      <c r="P36" s="187"/>
      <c r="Q36" s="187"/>
      <c r="R36" s="24"/>
      <c r="S36" s="187">
        <v>11038</v>
      </c>
      <c r="T36" s="187"/>
      <c r="U36" s="187"/>
      <c r="V36" s="187"/>
      <c r="W36" s="24"/>
      <c r="X36" s="187">
        <v>11035</v>
      </c>
      <c r="Y36" s="187"/>
      <c r="Z36" s="187"/>
      <c r="AA36" s="187"/>
      <c r="AB36" s="24"/>
      <c r="AC36" s="24"/>
      <c r="AD36" s="187">
        <v>11033</v>
      </c>
      <c r="AE36" s="187"/>
      <c r="AF36" s="187"/>
      <c r="AG36" s="187"/>
      <c r="AH36" s="24"/>
      <c r="AI36" s="187">
        <v>11030</v>
      </c>
      <c r="AJ36" s="187"/>
      <c r="AK36" s="187"/>
      <c r="AL36" s="187"/>
      <c r="AM36" s="24"/>
      <c r="AN36" s="187">
        <v>11027</v>
      </c>
      <c r="AO36" s="187"/>
      <c r="AP36" s="187"/>
      <c r="AQ36" s="187"/>
      <c r="AR36" s="24"/>
      <c r="AS36" s="187">
        <v>11025</v>
      </c>
      <c r="AT36" s="187"/>
      <c r="AU36" s="187"/>
      <c r="AV36" s="187"/>
      <c r="AW36" s="24"/>
      <c r="AX36" s="187">
        <v>11022</v>
      </c>
      <c r="AY36" s="187"/>
      <c r="AZ36" s="187"/>
      <c r="BA36" s="187"/>
      <c r="BP36" s="4"/>
      <c r="BQ36" s="78">
        <v>22</v>
      </c>
      <c r="BR36" s="78">
        <v>26</v>
      </c>
      <c r="BT36" s="78">
        <v>30</v>
      </c>
      <c r="BU36" s="78">
        <v>34</v>
      </c>
      <c r="BW36" s="78">
        <v>38</v>
      </c>
      <c r="BX36" s="78">
        <v>42</v>
      </c>
      <c r="BZ36" s="78">
        <v>46</v>
      </c>
      <c r="CA36" s="78">
        <v>50</v>
      </c>
      <c r="CB36" s="9"/>
    </row>
    <row r="37" spans="3:80">
      <c r="C37" s="193"/>
      <c r="D37" s="193"/>
      <c r="E37" s="193"/>
      <c r="G37" s="188" t="s">
        <v>51</v>
      </c>
      <c r="H37" s="188"/>
      <c r="I37" s="188"/>
      <c r="J37" s="188"/>
      <c r="K37" s="188"/>
      <c r="L37" s="188"/>
      <c r="Q37" s="188" t="s">
        <v>52</v>
      </c>
      <c r="R37" s="188"/>
      <c r="S37" s="188"/>
      <c r="T37" s="188"/>
      <c r="U37" s="188"/>
      <c r="V37" s="188"/>
      <c r="W37" s="188"/>
      <c r="X37" s="188"/>
      <c r="AC37" s="188" t="s">
        <v>53</v>
      </c>
      <c r="AD37" s="188"/>
      <c r="AE37" s="188"/>
      <c r="AF37" s="188"/>
      <c r="AG37" s="188"/>
      <c r="AH37" s="188"/>
      <c r="AI37" s="188"/>
      <c r="AJ37" s="188"/>
      <c r="AQ37" s="188" t="s">
        <v>54</v>
      </c>
      <c r="AR37" s="188"/>
      <c r="AS37" s="188"/>
      <c r="AT37" s="188"/>
      <c r="AU37" s="188"/>
      <c r="AV37" s="188"/>
      <c r="AW37" s="188"/>
      <c r="AX37" s="188"/>
      <c r="BE37" s="25"/>
      <c r="BG37" s="25" t="s">
        <v>55</v>
      </c>
      <c r="BP37" s="4"/>
      <c r="CB37" s="9"/>
    </row>
    <row r="38" spans="3:80">
      <c r="C38" s="193"/>
      <c r="D38" s="193"/>
      <c r="E38" s="193"/>
      <c r="G38" s="110">
        <v>1</v>
      </c>
      <c r="H38" s="110">
        <v>2</v>
      </c>
      <c r="I38" s="110">
        <v>3</v>
      </c>
      <c r="J38" s="110">
        <v>4</v>
      </c>
      <c r="K38" s="110">
        <v>5</v>
      </c>
      <c r="L38" s="110">
        <v>6</v>
      </c>
      <c r="Q38" s="112">
        <v>1</v>
      </c>
      <c r="R38" s="112">
        <v>2</v>
      </c>
      <c r="S38" s="112">
        <v>3</v>
      </c>
      <c r="T38" s="112">
        <v>4</v>
      </c>
      <c r="U38" s="112">
        <v>5</v>
      </c>
      <c r="V38" s="112">
        <v>6</v>
      </c>
      <c r="W38" s="112">
        <v>7</v>
      </c>
      <c r="X38" s="112">
        <v>8</v>
      </c>
      <c r="AC38" s="58">
        <v>1</v>
      </c>
      <c r="AD38" s="58">
        <v>2</v>
      </c>
      <c r="AE38" s="58">
        <v>3</v>
      </c>
      <c r="AF38" s="58">
        <v>4</v>
      </c>
      <c r="AG38" s="58">
        <v>5</v>
      </c>
      <c r="AH38" s="58">
        <v>6</v>
      </c>
      <c r="AI38" s="58">
        <v>7</v>
      </c>
      <c r="AJ38" s="58">
        <v>8</v>
      </c>
      <c r="AK38" s="21"/>
      <c r="AL38" s="21"/>
      <c r="AM38" s="21"/>
      <c r="AN38" s="21"/>
      <c r="AO38" s="21"/>
      <c r="AP38" s="21"/>
      <c r="AQ38" s="68">
        <v>1</v>
      </c>
      <c r="AR38" s="68">
        <v>2</v>
      </c>
      <c r="AS38" s="68">
        <v>3</v>
      </c>
      <c r="AT38" s="68">
        <v>4</v>
      </c>
      <c r="AU38" s="68">
        <v>5</v>
      </c>
      <c r="AV38" s="68">
        <v>6</v>
      </c>
      <c r="AW38" s="68">
        <v>7</v>
      </c>
      <c r="AX38" s="68">
        <v>8</v>
      </c>
      <c r="AY38" s="21"/>
      <c r="AZ38" s="21"/>
      <c r="BA38" s="21"/>
      <c r="BB38" s="21"/>
      <c r="BC38" s="21"/>
      <c r="BD38" s="59">
        <v>1</v>
      </c>
      <c r="BE38" s="59">
        <v>2</v>
      </c>
      <c r="BF38" s="59">
        <v>3</v>
      </c>
      <c r="BG38" s="59">
        <v>4</v>
      </c>
      <c r="BH38" s="59">
        <v>5</v>
      </c>
      <c r="BI38" s="59">
        <v>6</v>
      </c>
      <c r="BJ38" s="59">
        <v>7</v>
      </c>
      <c r="BK38" s="59">
        <v>8</v>
      </c>
      <c r="BP38" s="4"/>
      <c r="BR38" s="78">
        <v>51</v>
      </c>
      <c r="BS38" s="78">
        <v>52</v>
      </c>
      <c r="BT38" s="78">
        <v>53</v>
      </c>
      <c r="BU38" s="78">
        <v>54</v>
      </c>
      <c r="BV38" s="78">
        <v>55</v>
      </c>
      <c r="BW38" s="78">
        <v>56</v>
      </c>
      <c r="BX38" s="78">
        <v>57</v>
      </c>
      <c r="BY38" s="78">
        <v>58</v>
      </c>
      <c r="CB38" s="9"/>
    </row>
    <row r="39" spans="3:80">
      <c r="C39" s="111" t="s">
        <v>56</v>
      </c>
      <c r="G39" s="187">
        <v>11047</v>
      </c>
      <c r="H39" s="187"/>
      <c r="I39" s="187"/>
      <c r="J39" s="187"/>
      <c r="K39" s="187"/>
      <c r="L39" s="187"/>
      <c r="Q39" s="187">
        <v>11039</v>
      </c>
      <c r="R39" s="187"/>
      <c r="S39" s="187"/>
      <c r="T39" s="187"/>
      <c r="U39" s="187"/>
      <c r="V39" s="187"/>
      <c r="W39" s="187"/>
      <c r="X39" s="187"/>
      <c r="AC39" s="187">
        <v>11031</v>
      </c>
      <c r="AD39" s="187"/>
      <c r="AE39" s="187"/>
      <c r="AF39" s="187"/>
      <c r="AG39" s="187"/>
      <c r="AH39" s="187"/>
      <c r="AI39" s="187"/>
      <c r="AJ39" s="187"/>
      <c r="AQ39" s="187">
        <v>11023</v>
      </c>
      <c r="AR39" s="187"/>
      <c r="AS39" s="187"/>
      <c r="AT39" s="187"/>
      <c r="AU39" s="187"/>
      <c r="AV39" s="187"/>
      <c r="AW39" s="187"/>
      <c r="AX39" s="187"/>
      <c r="BD39" s="187">
        <v>11021</v>
      </c>
      <c r="BE39" s="187"/>
      <c r="BF39" s="187"/>
      <c r="BG39" s="187"/>
      <c r="BH39" s="187"/>
      <c r="BI39" s="187"/>
      <c r="BJ39" s="187"/>
      <c r="BK39" s="187"/>
      <c r="BP39" s="12"/>
      <c r="BQ39" s="15"/>
      <c r="BR39" s="188" t="s">
        <v>57</v>
      </c>
      <c r="BS39" s="188"/>
      <c r="BT39" s="188"/>
      <c r="BU39" s="188"/>
      <c r="BV39" s="188"/>
      <c r="BW39" s="188"/>
      <c r="BX39" s="188"/>
      <c r="BY39" s="188"/>
      <c r="BZ39" s="15"/>
      <c r="CA39" s="15"/>
      <c r="CB39" s="17"/>
    </row>
    <row r="40" spans="3:80">
      <c r="BF40" s="24"/>
      <c r="BG40" s="24"/>
      <c r="BH40" s="24"/>
      <c r="BI40" s="24"/>
      <c r="BJ40" s="24"/>
      <c r="BK40" s="24"/>
    </row>
    <row r="41" spans="3:80">
      <c r="BF41" s="24"/>
      <c r="BG41" s="24"/>
      <c r="BH41" s="24"/>
      <c r="BI41" s="24"/>
      <c r="BJ41" s="24"/>
      <c r="BK41" s="24"/>
    </row>
    <row r="42" spans="3:80">
      <c r="C42" s="71" t="s">
        <v>58</v>
      </c>
      <c r="BF42" s="24"/>
      <c r="BG42" s="24"/>
      <c r="BH42" s="24"/>
      <c r="BI42" s="24"/>
      <c r="BJ42" s="24"/>
      <c r="BK42" s="24"/>
    </row>
    <row r="43" spans="3:80">
      <c r="C43" s="257" t="s">
        <v>59</v>
      </c>
      <c r="D43" s="257"/>
      <c r="E43" s="257"/>
      <c r="F43" s="55"/>
      <c r="K43" s="79"/>
      <c r="BF43" s="24"/>
      <c r="BG43" s="24"/>
      <c r="BH43" s="24"/>
      <c r="BI43" s="24"/>
      <c r="BJ43" s="24"/>
      <c r="BK43" s="24"/>
    </row>
    <row r="44" spans="3:80">
      <c r="C44" s="258" t="s">
        <v>60</v>
      </c>
      <c r="D44" s="258"/>
      <c r="E44" s="258"/>
      <c r="BF44" s="24"/>
      <c r="BG44" s="24"/>
      <c r="BH44" s="24"/>
      <c r="BI44" s="24"/>
      <c r="BJ44" s="24"/>
      <c r="BK44" s="24"/>
    </row>
    <row r="45" spans="3:80">
      <c r="C45" s="259" t="s">
        <v>61</v>
      </c>
      <c r="D45" s="259"/>
      <c r="E45" s="259"/>
      <c r="F45" s="55"/>
      <c r="BF45" s="24"/>
      <c r="BG45" s="24"/>
      <c r="BH45" s="24"/>
      <c r="BI45" s="24"/>
      <c r="BJ45" s="24"/>
      <c r="BK45" s="24"/>
    </row>
    <row r="46" spans="3:80">
      <c r="C46" s="260" t="s">
        <v>62</v>
      </c>
      <c r="D46" s="260"/>
      <c r="E46" s="260"/>
      <c r="F46" s="55"/>
      <c r="BF46" s="24"/>
      <c r="BG46" s="24"/>
      <c r="BH46" s="24"/>
      <c r="BI46" s="24"/>
      <c r="BJ46" s="24"/>
      <c r="BK46" s="24"/>
    </row>
    <row r="47" spans="3:80">
      <c r="C47" s="261" t="s">
        <v>63</v>
      </c>
      <c r="D47" s="261"/>
      <c r="E47" s="261"/>
      <c r="BF47" s="24"/>
      <c r="BG47" s="24"/>
      <c r="BH47" s="24"/>
      <c r="BI47" s="24"/>
      <c r="BJ47" s="24"/>
      <c r="BK47" s="24"/>
    </row>
    <row r="48" spans="3:80">
      <c r="C48" s="262" t="s">
        <v>64</v>
      </c>
      <c r="D48" s="263"/>
      <c r="E48" s="263"/>
      <c r="F48" s="55"/>
      <c r="BF48" s="24"/>
      <c r="BG48" s="24"/>
      <c r="BH48" s="24"/>
      <c r="BI48" s="24"/>
      <c r="BJ48" s="24"/>
      <c r="BK48" s="24"/>
    </row>
    <row r="49" spans="3:63">
      <c r="C49" s="264" t="s">
        <v>65</v>
      </c>
      <c r="D49" s="264"/>
      <c r="E49" s="264"/>
      <c r="BF49" s="24"/>
      <c r="BG49" s="24"/>
      <c r="BH49" s="24"/>
      <c r="BI49" s="24"/>
      <c r="BJ49" s="24"/>
      <c r="BK49" s="24"/>
    </row>
    <row r="50" spans="3:63">
      <c r="C50" s="254" t="s">
        <v>66</v>
      </c>
      <c r="D50" s="255"/>
      <c r="E50" s="255"/>
      <c r="F50" s="79"/>
      <c r="BF50" s="24"/>
      <c r="BG50" s="24"/>
      <c r="BH50" s="24"/>
      <c r="BI50" s="24"/>
      <c r="BJ50" s="24"/>
      <c r="BK50" s="24"/>
    </row>
    <row r="51" spans="3:63">
      <c r="C51" s="265" t="s">
        <v>67</v>
      </c>
      <c r="D51" s="265"/>
      <c r="E51" s="265"/>
      <c r="BF51" s="24"/>
      <c r="BG51" s="24"/>
      <c r="BH51" s="24"/>
      <c r="BI51" s="24"/>
      <c r="BJ51" s="24"/>
      <c r="BK51" s="24"/>
    </row>
    <row r="52" spans="3:63" ht="18" customHeight="1">
      <c r="C52" s="256" t="s">
        <v>68</v>
      </c>
      <c r="D52" s="256"/>
      <c r="E52" s="256"/>
      <c r="X52" s="3"/>
      <c r="Y52" s="3"/>
      <c r="Z52" s="3"/>
      <c r="AA52" s="3"/>
      <c r="AB52" s="3"/>
      <c r="AC52" s="3"/>
      <c r="AD52" s="100"/>
      <c r="AF52" s="3"/>
      <c r="AH52" s="3"/>
      <c r="AK52" s="168"/>
      <c r="AL52" s="168"/>
      <c r="BF52" s="24"/>
      <c r="BG52" s="24"/>
      <c r="BH52" s="24"/>
      <c r="BI52" s="24"/>
      <c r="BJ52" s="24"/>
      <c r="BK52" s="24"/>
    </row>
    <row r="55" spans="3:63" ht="174" customHeight="1">
      <c r="C55" s="93" t="s">
        <v>69</v>
      </c>
      <c r="D55" s="94"/>
      <c r="E55" s="94"/>
      <c r="F55" s="95">
        <v>241</v>
      </c>
      <c r="G55" s="169" t="s">
        <v>70</v>
      </c>
      <c r="H55" s="170"/>
      <c r="I55" s="170"/>
      <c r="J55" s="171"/>
      <c r="K55" s="172">
        <v>0.5</v>
      </c>
      <c r="L55" s="171"/>
      <c r="M55" s="90" t="s">
        <v>71</v>
      </c>
      <c r="N55" s="90" t="s">
        <v>72</v>
      </c>
    </row>
    <row r="56" spans="3:63" ht="29.25" customHeight="1">
      <c r="C56" s="173" t="s">
        <v>73</v>
      </c>
      <c r="D56" s="174"/>
      <c r="E56" s="174"/>
      <c r="F56" s="95">
        <v>366</v>
      </c>
      <c r="G56" s="175">
        <f>SUM(G57:J68)</f>
        <v>439</v>
      </c>
      <c r="H56" s="176"/>
      <c r="I56" s="176"/>
      <c r="J56" s="177"/>
      <c r="K56" s="178">
        <f>SUM(K57:L67)</f>
        <v>217.5</v>
      </c>
      <c r="L56" s="179"/>
      <c r="M56" s="91"/>
      <c r="N56" s="91"/>
    </row>
    <row r="57" spans="3:63">
      <c r="C57" s="74" t="s">
        <v>74</v>
      </c>
      <c r="D57" s="82"/>
      <c r="E57" s="83"/>
      <c r="F57" s="83">
        <v>22</v>
      </c>
      <c r="G57" s="160">
        <v>14</v>
      </c>
      <c r="H57" s="161"/>
      <c r="I57" s="161"/>
      <c r="J57" s="162"/>
      <c r="K57" s="161">
        <f>G57/2</f>
        <v>7</v>
      </c>
      <c r="L57" s="162"/>
      <c r="M57" s="35">
        <f>G57</f>
        <v>14</v>
      </c>
      <c r="N57" s="35">
        <f>F57-K57</f>
        <v>15</v>
      </c>
    </row>
    <row r="58" spans="3:63">
      <c r="C58" s="74" t="s">
        <v>75</v>
      </c>
      <c r="D58" s="82"/>
      <c r="E58" s="83"/>
      <c r="F58" s="83">
        <v>22</v>
      </c>
      <c r="G58" s="275"/>
      <c r="H58" s="276"/>
      <c r="I58" s="276"/>
      <c r="J58" s="277"/>
      <c r="K58" s="88"/>
      <c r="L58" s="89"/>
      <c r="M58" s="89"/>
      <c r="N58" s="89"/>
      <c r="AS58" s="107"/>
    </row>
    <row r="59" spans="3:63">
      <c r="C59" s="64" t="s">
        <v>76</v>
      </c>
      <c r="D59" s="84"/>
      <c r="E59" s="85"/>
      <c r="F59" s="85">
        <v>23</v>
      </c>
      <c r="G59" s="275"/>
      <c r="H59" s="276"/>
      <c r="I59" s="276"/>
      <c r="J59" s="277"/>
      <c r="K59" s="88"/>
      <c r="L59" s="89"/>
      <c r="M59" s="89"/>
      <c r="N59" s="89"/>
    </row>
    <row r="60" spans="3:63">
      <c r="C60" s="64" t="s">
        <v>77</v>
      </c>
      <c r="D60" s="84"/>
      <c r="E60" s="85"/>
      <c r="F60" s="85">
        <v>58</v>
      </c>
      <c r="G60" s="275"/>
      <c r="H60" s="276"/>
      <c r="I60" s="276"/>
      <c r="J60" s="277"/>
      <c r="K60" s="88"/>
      <c r="L60" s="89"/>
      <c r="M60" s="89"/>
      <c r="N60" s="89"/>
    </row>
    <row r="61" spans="3:63">
      <c r="C61" s="39" t="s">
        <v>59</v>
      </c>
      <c r="D61" s="40"/>
      <c r="E61" s="40"/>
      <c r="F61" s="40">
        <v>48</v>
      </c>
      <c r="G61" s="160">
        <v>88</v>
      </c>
      <c r="H61" s="161"/>
      <c r="I61" s="161"/>
      <c r="J61" s="162"/>
      <c r="K61" s="161">
        <f>G61/2</f>
        <v>44</v>
      </c>
      <c r="L61" s="162"/>
      <c r="M61" s="35">
        <f>G61</f>
        <v>88</v>
      </c>
      <c r="N61" s="35">
        <f>F61-K61</f>
        <v>4</v>
      </c>
      <c r="Z61" s="33"/>
    </row>
    <row r="62" spans="3:63">
      <c r="C62" s="42" t="s">
        <v>78</v>
      </c>
      <c r="D62" s="43"/>
      <c r="E62" s="43"/>
      <c r="F62" s="43">
        <v>80</v>
      </c>
      <c r="G62" s="160">
        <v>158</v>
      </c>
      <c r="H62" s="161"/>
      <c r="I62" s="161"/>
      <c r="J62" s="162"/>
      <c r="K62" s="161">
        <f>G62/2</f>
        <v>79</v>
      </c>
      <c r="L62" s="162"/>
      <c r="M62" s="35">
        <f>G62</f>
        <v>158</v>
      </c>
      <c r="N62" s="35">
        <f>F62-K62</f>
        <v>1</v>
      </c>
    </row>
    <row r="63" spans="3:63">
      <c r="C63" s="45" t="s">
        <v>60</v>
      </c>
      <c r="D63" s="46"/>
      <c r="E63" s="46"/>
      <c r="F63" s="46">
        <v>40</v>
      </c>
      <c r="G63" s="160">
        <v>60</v>
      </c>
      <c r="H63" s="161"/>
      <c r="I63" s="161"/>
      <c r="J63" s="162"/>
      <c r="K63" s="163">
        <f>G63/2</f>
        <v>30</v>
      </c>
      <c r="L63" s="164"/>
      <c r="M63" s="35">
        <f>G63</f>
        <v>60</v>
      </c>
      <c r="N63" s="35">
        <f t="shared" ref="N62:N66" si="0">F63-K63</f>
        <v>10</v>
      </c>
      <c r="AB63" s="33"/>
    </row>
    <row r="64" spans="3:63">
      <c r="C64" s="69" t="s">
        <v>63</v>
      </c>
      <c r="D64" s="86"/>
      <c r="E64" s="86"/>
      <c r="F64" s="86">
        <v>24</v>
      </c>
      <c r="G64" s="160">
        <v>49</v>
      </c>
      <c r="H64" s="161"/>
      <c r="I64" s="161"/>
      <c r="J64" s="162"/>
      <c r="K64" s="163">
        <f>G64/2</f>
        <v>24.5</v>
      </c>
      <c r="L64" s="164"/>
      <c r="M64" s="35">
        <f t="shared" ref="M62:M65" si="1">G64</f>
        <v>49</v>
      </c>
      <c r="N64" s="92">
        <f>F64-K64</f>
        <v>-0.5</v>
      </c>
      <c r="AB64" s="33"/>
    </row>
    <row r="65" spans="3:52">
      <c r="C65" s="70" t="s">
        <v>79</v>
      </c>
      <c r="D65" s="87"/>
      <c r="E65" s="87"/>
      <c r="F65" s="87">
        <v>58</v>
      </c>
      <c r="G65" s="160">
        <v>40</v>
      </c>
      <c r="H65" s="161"/>
      <c r="I65" s="161"/>
      <c r="J65" s="162"/>
      <c r="K65" s="161">
        <f t="shared" ref="K62:K66" si="2">G65/2</f>
        <v>20</v>
      </c>
      <c r="L65" s="162"/>
      <c r="M65" s="35">
        <f>G65</f>
        <v>40</v>
      </c>
      <c r="N65" s="35">
        <f>F65-K65</f>
        <v>38</v>
      </c>
    </row>
    <row r="66" spans="3:52">
      <c r="C66" s="76" t="s">
        <v>62</v>
      </c>
      <c r="D66" s="80"/>
      <c r="E66" s="80"/>
      <c r="F66" s="80">
        <v>9</v>
      </c>
      <c r="G66" s="160">
        <v>22</v>
      </c>
      <c r="H66" s="161"/>
      <c r="I66" s="161"/>
      <c r="J66" s="162"/>
      <c r="K66" s="163">
        <f t="shared" ref="K66" si="3">G66/2</f>
        <v>11</v>
      </c>
      <c r="L66" s="164"/>
      <c r="M66" s="35">
        <f>G66</f>
        <v>22</v>
      </c>
      <c r="N66" s="75">
        <f>F66-K66</f>
        <v>-2</v>
      </c>
    </row>
    <row r="67" spans="3:52">
      <c r="C67" s="97" t="s">
        <v>80</v>
      </c>
      <c r="D67" s="98"/>
      <c r="E67" s="98"/>
      <c r="F67" s="99">
        <v>20</v>
      </c>
      <c r="G67" s="145">
        <v>4</v>
      </c>
      <c r="H67" s="146"/>
      <c r="I67" s="146"/>
      <c r="J67" s="147"/>
      <c r="K67" s="148">
        <f>G67/2</f>
        <v>2</v>
      </c>
      <c r="L67" s="149"/>
      <c r="M67" s="53">
        <f>G67</f>
        <v>4</v>
      </c>
      <c r="N67" s="96">
        <f>F67-K67</f>
        <v>18</v>
      </c>
    </row>
    <row r="68" spans="3:52" ht="15" customHeight="1">
      <c r="C68" s="77" t="s">
        <v>67</v>
      </c>
      <c r="D68" s="81"/>
      <c r="E68" s="81"/>
      <c r="F68" s="81">
        <v>12</v>
      </c>
      <c r="G68" s="278">
        <v>4</v>
      </c>
      <c r="H68" s="279"/>
      <c r="I68" s="279"/>
      <c r="J68" s="280"/>
      <c r="K68" s="163">
        <f>G68/2</f>
        <v>2</v>
      </c>
      <c r="L68" s="164"/>
      <c r="M68" s="35">
        <f>G68</f>
        <v>4</v>
      </c>
      <c r="N68" s="75">
        <f>F68-K68</f>
        <v>10</v>
      </c>
      <c r="O68" s="157" t="s">
        <v>81</v>
      </c>
      <c r="P68" s="158"/>
      <c r="Q68" s="158"/>
      <c r="R68" s="158"/>
      <c r="S68" s="158"/>
      <c r="T68" s="158"/>
    </row>
    <row r="69" spans="3:52">
      <c r="C69" s="66" t="s">
        <v>68</v>
      </c>
      <c r="D69" s="67"/>
      <c r="E69" s="67"/>
      <c r="F69" s="67">
        <v>15</v>
      </c>
      <c r="G69" s="145">
        <v>15</v>
      </c>
      <c r="H69" s="146"/>
      <c r="I69" s="146"/>
      <c r="J69" s="147"/>
      <c r="K69" s="148">
        <f>G69/2</f>
        <v>7.5</v>
      </c>
      <c r="L69" s="149"/>
      <c r="M69" s="53">
        <f t="shared" ref="M69" si="4">G69</f>
        <v>15</v>
      </c>
      <c r="N69" s="96">
        <f>F69-K69</f>
        <v>7.5</v>
      </c>
      <c r="O69" s="157"/>
      <c r="P69" s="158"/>
      <c r="Q69" s="158"/>
      <c r="R69" s="158"/>
      <c r="S69" s="158"/>
      <c r="T69" s="158"/>
    </row>
    <row r="70" spans="3:52">
      <c r="O70" s="109"/>
      <c r="P70" s="109"/>
      <c r="Q70" s="109"/>
      <c r="R70" s="109"/>
      <c r="S70" s="109"/>
      <c r="T70" s="109"/>
      <c r="X70" s="33"/>
    </row>
    <row r="71" spans="3:52">
      <c r="O71" s="109"/>
      <c r="P71" s="109"/>
      <c r="Q71" s="109"/>
      <c r="R71" s="109"/>
      <c r="S71" s="109"/>
      <c r="T71" s="109"/>
    </row>
    <row r="72" spans="3:52">
      <c r="C72" s="55" t="s">
        <v>82</v>
      </c>
      <c r="F72" s="1">
        <f>SUM(K61:L69,K57)</f>
        <v>227</v>
      </c>
      <c r="O72" s="109"/>
      <c r="P72" s="109"/>
      <c r="Q72" s="109"/>
      <c r="R72" s="109"/>
      <c r="S72" s="109"/>
      <c r="T72" s="109"/>
    </row>
    <row r="73" spans="3:52">
      <c r="C73" s="56" t="s">
        <v>83</v>
      </c>
      <c r="D73" s="57"/>
      <c r="E73" s="57"/>
      <c r="F73" s="57">
        <f>F56-F72</f>
        <v>139</v>
      </c>
    </row>
    <row r="74" spans="3:52">
      <c r="AZ74" s="1" t="s">
        <v>84</v>
      </c>
    </row>
    <row r="75" spans="3:52">
      <c r="C75" s="55" t="s">
        <v>85</v>
      </c>
      <c r="F75" s="1">
        <f>SUM(F57,F58,F60,F61,F62,F63,F64,F65,F66,F68,F69)</f>
        <v>388</v>
      </c>
    </row>
    <row r="76" spans="3:52">
      <c r="C76" s="55" t="s">
        <v>82</v>
      </c>
      <c r="F76" s="1">
        <f>SUM(G61:J67)</f>
        <v>421</v>
      </c>
    </row>
    <row r="77" spans="3:52">
      <c r="C77" s="55" t="s">
        <v>86</v>
      </c>
      <c r="F77" s="1">
        <v>189</v>
      </c>
    </row>
    <row r="78" spans="3:52">
      <c r="F78" s="1">
        <f>F77-F76</f>
        <v>-232</v>
      </c>
    </row>
    <row r="81" spans="3:9">
      <c r="C81" s="1">
        <f>F55+F57+F58+F59+F60</f>
        <v>366</v>
      </c>
      <c r="D81" s="159" t="s">
        <v>87</v>
      </c>
      <c r="E81" s="159"/>
      <c r="F81" s="159"/>
      <c r="G81" s="159"/>
      <c r="H81" s="159"/>
      <c r="I81" s="159"/>
    </row>
  </sheetData>
  <mergeCells count="171">
    <mergeCell ref="O68:T69"/>
    <mergeCell ref="K67:L67"/>
    <mergeCell ref="K61:L61"/>
    <mergeCell ref="K62:L62"/>
    <mergeCell ref="K63:L63"/>
    <mergeCell ref="K64:L64"/>
    <mergeCell ref="K65:L65"/>
    <mergeCell ref="K66:L66"/>
    <mergeCell ref="G57:J57"/>
    <mergeCell ref="K57:L57"/>
    <mergeCell ref="G58:J58"/>
    <mergeCell ref="G59:J59"/>
    <mergeCell ref="G60:J60"/>
    <mergeCell ref="G61:J61"/>
    <mergeCell ref="G62:J62"/>
    <mergeCell ref="G63:J63"/>
    <mergeCell ref="G64:J64"/>
    <mergeCell ref="G65:J65"/>
    <mergeCell ref="G66:J66"/>
    <mergeCell ref="K69:L69"/>
    <mergeCell ref="K68:L68"/>
    <mergeCell ref="G68:J68"/>
    <mergeCell ref="BP4:CB4"/>
    <mergeCell ref="K8:M11"/>
    <mergeCell ref="N8:AB11"/>
    <mergeCell ref="AS8:AV8"/>
    <mergeCell ref="BH8:BJ8"/>
    <mergeCell ref="BU8:BW8"/>
    <mergeCell ref="AD10:AN11"/>
    <mergeCell ref="AO10:AW11"/>
    <mergeCell ref="AX10:AZ11"/>
    <mergeCell ref="K4:M7"/>
    <mergeCell ref="N4:AB7"/>
    <mergeCell ref="AD4:AK7"/>
    <mergeCell ref="AM4:BB4"/>
    <mergeCell ref="BA10:BE11"/>
    <mergeCell ref="BF10:BJ11"/>
    <mergeCell ref="BK10:BM11"/>
    <mergeCell ref="BP10:CB14"/>
    <mergeCell ref="AG14:AK25"/>
    <mergeCell ref="AL14:AO25"/>
    <mergeCell ref="BS21:BW25"/>
    <mergeCell ref="BX21:CB25"/>
    <mergeCell ref="L22:M25"/>
    <mergeCell ref="BP15:CB20"/>
    <mergeCell ref="BP21:BR25"/>
    <mergeCell ref="BF19:BM22"/>
    <mergeCell ref="G20:H20"/>
    <mergeCell ref="I20:J20"/>
    <mergeCell ref="N20:N25"/>
    <mergeCell ref="O20:T25"/>
    <mergeCell ref="BC4:BO4"/>
    <mergeCell ref="BF23:BI24"/>
    <mergeCell ref="BJ23:BM24"/>
    <mergeCell ref="H13:I13"/>
    <mergeCell ref="G14:H14"/>
    <mergeCell ref="I14:J14"/>
    <mergeCell ref="L14:M17"/>
    <mergeCell ref="N14:N19"/>
    <mergeCell ref="O14:T19"/>
    <mergeCell ref="V14:X25"/>
    <mergeCell ref="H25:I25"/>
    <mergeCell ref="BF15:BM18"/>
    <mergeCell ref="AT14:AW25"/>
    <mergeCell ref="AX14:BA25"/>
    <mergeCell ref="BB14:BC23"/>
    <mergeCell ref="C16:E20"/>
    <mergeCell ref="G16:H16"/>
    <mergeCell ref="I16:J16"/>
    <mergeCell ref="G17:J17"/>
    <mergeCell ref="G18:H18"/>
    <mergeCell ref="I18:J18"/>
    <mergeCell ref="L18:M21"/>
    <mergeCell ref="G19:H19"/>
    <mergeCell ref="AP14:AS25"/>
    <mergeCell ref="G15:H15"/>
    <mergeCell ref="I15:J15"/>
    <mergeCell ref="I19:J19"/>
    <mergeCell ref="C4:E15"/>
    <mergeCell ref="G4:J11"/>
    <mergeCell ref="Y14:AC25"/>
    <mergeCell ref="G22:H22"/>
    <mergeCell ref="I22:J22"/>
    <mergeCell ref="G23:H23"/>
    <mergeCell ref="I23:J23"/>
    <mergeCell ref="BJ29:BM31"/>
    <mergeCell ref="C30:E30"/>
    <mergeCell ref="G30:H30"/>
    <mergeCell ref="I30:J30"/>
    <mergeCell ref="K30:L30"/>
    <mergeCell ref="BU30:BV30"/>
    <mergeCell ref="G31:L31"/>
    <mergeCell ref="I27:J27"/>
    <mergeCell ref="BH27:BJ27"/>
    <mergeCell ref="G28:H28"/>
    <mergeCell ref="I28:J28"/>
    <mergeCell ref="K28:L28"/>
    <mergeCell ref="G29:H29"/>
    <mergeCell ref="I29:J29"/>
    <mergeCell ref="K29:L29"/>
    <mergeCell ref="Y29:AB29"/>
    <mergeCell ref="BF29:BI31"/>
    <mergeCell ref="BF32:BI35"/>
    <mergeCell ref="BJ32:BM35"/>
    <mergeCell ref="BQ32:CA32"/>
    <mergeCell ref="C33:E33"/>
    <mergeCell ref="G33:H33"/>
    <mergeCell ref="I33:J33"/>
    <mergeCell ref="K33:L33"/>
    <mergeCell ref="X33:AD33"/>
    <mergeCell ref="G34:H34"/>
    <mergeCell ref="I34:J34"/>
    <mergeCell ref="AF32:AG32"/>
    <mergeCell ref="AJ32:AK32"/>
    <mergeCell ref="AN32:AO32"/>
    <mergeCell ref="AR32:AS32"/>
    <mergeCell ref="AV32:AW32"/>
    <mergeCell ref="AZ32:BA32"/>
    <mergeCell ref="I32:J32"/>
    <mergeCell ref="N32:O32"/>
    <mergeCell ref="Q32:R32"/>
    <mergeCell ref="T32:U32"/>
    <mergeCell ref="W32:X32"/>
    <mergeCell ref="AC32:AD32"/>
    <mergeCell ref="BD39:BK39"/>
    <mergeCell ref="BR39:BY39"/>
    <mergeCell ref="K55:L55"/>
    <mergeCell ref="G56:J56"/>
    <mergeCell ref="K56:L56"/>
    <mergeCell ref="AX36:BA36"/>
    <mergeCell ref="G37:L37"/>
    <mergeCell ref="Q37:X37"/>
    <mergeCell ref="AC37:AJ37"/>
    <mergeCell ref="AQ37:AX37"/>
    <mergeCell ref="G39:L39"/>
    <mergeCell ref="Q39:X39"/>
    <mergeCell ref="AC39:AJ39"/>
    <mergeCell ref="AQ39:AX39"/>
    <mergeCell ref="S36:V36"/>
    <mergeCell ref="X36:AA36"/>
    <mergeCell ref="AD36:AG36"/>
    <mergeCell ref="AI36:AL36"/>
    <mergeCell ref="AN36:AQ36"/>
    <mergeCell ref="AS36:AV36"/>
    <mergeCell ref="AK52:AL52"/>
    <mergeCell ref="G55:J55"/>
    <mergeCell ref="N36:Q36"/>
    <mergeCell ref="A1:Q2"/>
    <mergeCell ref="D81:I81"/>
    <mergeCell ref="G69:J69"/>
    <mergeCell ref="C50:E50"/>
    <mergeCell ref="C52:E52"/>
    <mergeCell ref="C43:E43"/>
    <mergeCell ref="C44:E44"/>
    <mergeCell ref="C45:E45"/>
    <mergeCell ref="C46:E46"/>
    <mergeCell ref="C47:E47"/>
    <mergeCell ref="C48:E48"/>
    <mergeCell ref="C49:E49"/>
    <mergeCell ref="C51:E51"/>
    <mergeCell ref="C56:E56"/>
    <mergeCell ref="G67:J67"/>
    <mergeCell ref="K34:L34"/>
    <mergeCell ref="C35:E38"/>
    <mergeCell ref="G35:H35"/>
    <mergeCell ref="I35:J35"/>
    <mergeCell ref="K35:L35"/>
    <mergeCell ref="C21:E25"/>
    <mergeCell ref="H21:I21"/>
    <mergeCell ref="G24:H24"/>
    <mergeCell ref="I24:J2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BC4F9-4E55-4D82-930A-9C8C3A7F238D}">
  <sheetPr>
    <pageSetUpPr fitToPage="1"/>
  </sheetPr>
  <dimension ref="B3:CC89"/>
  <sheetViews>
    <sheetView showGridLines="0" tabSelected="1" zoomScale="55" zoomScaleNormal="55" workbookViewId="0">
      <selection activeCell="H13" sqref="H13"/>
    </sheetView>
  </sheetViews>
  <sheetFormatPr defaultColWidth="8.7109375" defaultRowHeight="15"/>
  <cols>
    <col min="1" max="1" width="3" style="1" customWidth="1"/>
    <col min="2" max="2" width="4.42578125" style="1" customWidth="1"/>
    <col min="3" max="3" width="20.140625" style="1" customWidth="1"/>
    <col min="4" max="6" width="4.7109375" style="1" customWidth="1"/>
    <col min="7" max="9" width="3.85546875" style="1" customWidth="1"/>
    <col min="10" max="12" width="4.7109375" style="1" customWidth="1"/>
    <col min="13" max="13" width="10.5703125" style="1" customWidth="1"/>
    <col min="14" max="14" width="13.85546875" style="1" customWidth="1"/>
    <col min="15" max="15" width="4.7109375" style="1" customWidth="1"/>
    <col min="16" max="16" width="7.7109375" style="1" customWidth="1"/>
    <col min="17" max="17" width="4.7109375" style="1" customWidth="1"/>
    <col min="18" max="18" width="6.7109375" style="1" customWidth="1"/>
    <col min="19" max="19" width="4.7109375" style="1" customWidth="1"/>
    <col min="20" max="20" width="6.28515625" style="1" customWidth="1"/>
    <col min="21" max="23" width="4.7109375" style="1" customWidth="1"/>
    <col min="24" max="24" width="9" style="1" customWidth="1"/>
    <col min="25" max="25" width="4.7109375" style="1" customWidth="1"/>
    <col min="26" max="26" width="6.5703125" style="1" customWidth="1"/>
    <col min="27" max="27" width="4.7109375" style="1" customWidth="1"/>
    <col min="28" max="28" width="6.42578125" style="1" customWidth="1"/>
    <col min="29" max="29" width="4.7109375" style="1" customWidth="1"/>
    <col min="30" max="30" width="8.85546875" style="1" customWidth="1"/>
    <col min="31" max="31" width="4.7109375" style="1" customWidth="1"/>
    <col min="32" max="33" width="8.85546875" style="1" customWidth="1"/>
    <col min="34" max="34" width="12.42578125" style="1" customWidth="1"/>
    <col min="35" max="61" width="4.5703125" style="1" customWidth="1"/>
    <col min="62" max="62" width="6.5703125" style="1" customWidth="1"/>
    <col min="63" max="80" width="4.85546875" style="1" customWidth="1"/>
    <col min="81" max="16384" width="8.7109375" style="1"/>
  </cols>
  <sheetData>
    <row r="3" spans="3:80">
      <c r="BB3" s="1" t="s">
        <v>88</v>
      </c>
      <c r="BO3" s="1" t="s">
        <v>89</v>
      </c>
    </row>
    <row r="4" spans="3:80" ht="14.1" customHeight="1">
      <c r="C4" s="193" t="s">
        <v>1</v>
      </c>
      <c r="D4" s="193"/>
      <c r="E4" s="193"/>
      <c r="G4" s="196" t="s">
        <v>2</v>
      </c>
      <c r="H4" s="197"/>
      <c r="I4" s="197"/>
      <c r="J4" s="198"/>
      <c r="K4" s="196" t="s">
        <v>3</v>
      </c>
      <c r="L4" s="197"/>
      <c r="M4" s="198"/>
      <c r="N4" s="196" t="s">
        <v>4</v>
      </c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  <c r="AA4" s="197"/>
      <c r="AB4" s="198"/>
      <c r="AD4" s="193" t="s">
        <v>5</v>
      </c>
      <c r="AE4" s="211"/>
      <c r="AF4" s="211"/>
      <c r="AG4" s="211"/>
      <c r="AH4" s="211"/>
      <c r="AI4" s="211"/>
      <c r="AJ4" s="211"/>
      <c r="AK4" s="211"/>
      <c r="AM4" s="225" t="s">
        <v>6</v>
      </c>
      <c r="AN4" s="221"/>
      <c r="AO4" s="221"/>
      <c r="AP4" s="221"/>
      <c r="AQ4" s="221"/>
      <c r="AR4" s="221"/>
      <c r="AS4" s="221"/>
      <c r="AT4" s="221"/>
      <c r="AU4" s="221"/>
      <c r="AV4" s="221"/>
      <c r="AW4" s="221"/>
      <c r="AX4" s="221"/>
      <c r="AY4" s="221"/>
      <c r="AZ4" s="221"/>
      <c r="BA4" s="221"/>
      <c r="BB4" s="226"/>
      <c r="BC4" s="225" t="s">
        <v>7</v>
      </c>
      <c r="BD4" s="221"/>
      <c r="BE4" s="221"/>
      <c r="BF4" s="221"/>
      <c r="BG4" s="221"/>
      <c r="BH4" s="221"/>
      <c r="BI4" s="221"/>
      <c r="BJ4" s="221"/>
      <c r="BK4" s="221"/>
      <c r="BL4" s="221"/>
      <c r="BM4" s="221"/>
      <c r="BN4" s="221"/>
      <c r="BO4" s="226"/>
      <c r="BP4" s="225" t="s">
        <v>8</v>
      </c>
      <c r="BQ4" s="221"/>
      <c r="BR4" s="221"/>
      <c r="BS4" s="221"/>
      <c r="BT4" s="221"/>
      <c r="BU4" s="221"/>
      <c r="BV4" s="221"/>
      <c r="BW4" s="221"/>
      <c r="BX4" s="221"/>
      <c r="BY4" s="221"/>
      <c r="BZ4" s="221"/>
      <c r="CA4" s="221"/>
      <c r="CB4" s="226"/>
    </row>
    <row r="5" spans="3:80" ht="14.1" customHeight="1">
      <c r="C5" s="193"/>
      <c r="D5" s="193"/>
      <c r="E5" s="193"/>
      <c r="G5" s="199"/>
      <c r="H5" s="168"/>
      <c r="I5" s="168"/>
      <c r="J5" s="200"/>
      <c r="K5" s="199"/>
      <c r="L5" s="168"/>
      <c r="M5" s="200"/>
      <c r="N5" s="199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  <c r="AA5" s="168"/>
      <c r="AB5" s="200"/>
      <c r="AD5" s="211"/>
      <c r="AE5" s="211"/>
      <c r="AF5" s="211"/>
      <c r="AG5" s="211"/>
      <c r="AH5" s="211"/>
      <c r="AI5" s="211"/>
      <c r="AJ5" s="211"/>
      <c r="AK5" s="211"/>
      <c r="AM5" s="4"/>
      <c r="AN5" s="5"/>
      <c r="AO5" s="72">
        <v>3</v>
      </c>
      <c r="AP5" s="5"/>
      <c r="AQ5" s="5"/>
      <c r="AR5" s="72">
        <v>6</v>
      </c>
      <c r="AS5" s="72">
        <v>9</v>
      </c>
      <c r="AT5" s="5"/>
      <c r="AU5" s="5"/>
      <c r="AV5" s="72">
        <v>12</v>
      </c>
      <c r="AW5" s="72">
        <v>15</v>
      </c>
      <c r="AX5" s="5"/>
      <c r="AY5" s="5"/>
      <c r="AZ5" s="72">
        <v>18</v>
      </c>
      <c r="BA5" s="5"/>
      <c r="BB5" s="7"/>
      <c r="BC5" s="4"/>
      <c r="BE5" s="105">
        <v>3</v>
      </c>
      <c r="BG5" s="105">
        <v>6</v>
      </c>
      <c r="BH5" s="105">
        <v>9</v>
      </c>
      <c r="BJ5" s="105">
        <v>12</v>
      </c>
      <c r="BK5" s="105">
        <v>15</v>
      </c>
      <c r="BM5" s="105">
        <v>18</v>
      </c>
      <c r="BO5" s="7"/>
      <c r="BP5" s="8"/>
      <c r="BQ5" s="2">
        <v>1</v>
      </c>
      <c r="BR5" s="2">
        <v>4</v>
      </c>
      <c r="BT5" s="2">
        <v>7</v>
      </c>
      <c r="BU5" s="2">
        <v>10</v>
      </c>
      <c r="BW5" s="2">
        <v>13</v>
      </c>
      <c r="BX5" s="2">
        <v>16</v>
      </c>
      <c r="BZ5" s="2">
        <v>19</v>
      </c>
      <c r="CB5" s="9"/>
    </row>
    <row r="6" spans="3:80">
      <c r="C6" s="193"/>
      <c r="D6" s="193"/>
      <c r="E6" s="193"/>
      <c r="G6" s="199"/>
      <c r="H6" s="168"/>
      <c r="I6" s="168"/>
      <c r="J6" s="200"/>
      <c r="K6" s="199"/>
      <c r="L6" s="168"/>
      <c r="M6" s="200"/>
      <c r="N6" s="199"/>
      <c r="O6" s="168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  <c r="AA6" s="168"/>
      <c r="AB6" s="200"/>
      <c r="AD6" s="211"/>
      <c r="AE6" s="211"/>
      <c r="AF6" s="211"/>
      <c r="AG6" s="211"/>
      <c r="AH6" s="211"/>
      <c r="AI6" s="211"/>
      <c r="AJ6" s="211"/>
      <c r="AK6" s="211"/>
      <c r="AM6" s="4"/>
      <c r="AN6" s="73">
        <v>1</v>
      </c>
      <c r="AO6" s="72">
        <v>4</v>
      </c>
      <c r="AP6" s="5"/>
      <c r="AQ6" s="5"/>
      <c r="AR6" s="72">
        <v>7</v>
      </c>
      <c r="AS6" s="72">
        <v>10</v>
      </c>
      <c r="AT6" s="5"/>
      <c r="AU6" s="5"/>
      <c r="AV6" s="72">
        <v>13</v>
      </c>
      <c r="AW6" s="72">
        <v>16</v>
      </c>
      <c r="AX6" s="5"/>
      <c r="AY6" s="5"/>
      <c r="AZ6" s="72">
        <v>19</v>
      </c>
      <c r="BA6" s="72">
        <v>21</v>
      </c>
      <c r="BB6" s="7"/>
      <c r="BC6" s="4"/>
      <c r="BD6" s="106">
        <v>1</v>
      </c>
      <c r="BE6" s="105">
        <v>4</v>
      </c>
      <c r="BG6" s="105">
        <v>7</v>
      </c>
      <c r="BH6" s="105">
        <v>10</v>
      </c>
      <c r="BJ6" s="105">
        <v>13</v>
      </c>
      <c r="BK6" s="105">
        <v>16</v>
      </c>
      <c r="BM6" s="105">
        <v>19</v>
      </c>
      <c r="BN6" s="105">
        <v>21</v>
      </c>
      <c r="BO6" s="7"/>
      <c r="BP6" s="8"/>
      <c r="BQ6" s="2">
        <v>2</v>
      </c>
      <c r="BR6" s="2">
        <v>5</v>
      </c>
      <c r="BT6" s="2">
        <v>8</v>
      </c>
      <c r="BU6" s="2">
        <v>11</v>
      </c>
      <c r="BW6" s="2">
        <v>14</v>
      </c>
      <c r="BX6" s="2">
        <v>17</v>
      </c>
      <c r="BZ6" s="2">
        <v>20</v>
      </c>
      <c r="CA6" s="2">
        <v>22</v>
      </c>
      <c r="CB6" s="9"/>
    </row>
    <row r="7" spans="3:80">
      <c r="C7" s="193"/>
      <c r="D7" s="193"/>
      <c r="E7" s="193"/>
      <c r="G7" s="199"/>
      <c r="H7" s="168"/>
      <c r="I7" s="168"/>
      <c r="J7" s="200"/>
      <c r="K7" s="201"/>
      <c r="L7" s="202"/>
      <c r="M7" s="203"/>
      <c r="N7" s="201"/>
      <c r="O7" s="202"/>
      <c r="P7" s="202"/>
      <c r="Q7" s="202"/>
      <c r="R7" s="202"/>
      <c r="S7" s="202"/>
      <c r="T7" s="202"/>
      <c r="U7" s="202"/>
      <c r="V7" s="202"/>
      <c r="W7" s="202"/>
      <c r="X7" s="202"/>
      <c r="Y7" s="202"/>
      <c r="Z7" s="202"/>
      <c r="AA7" s="202"/>
      <c r="AB7" s="203"/>
      <c r="AD7" s="211"/>
      <c r="AE7" s="211"/>
      <c r="AF7" s="211"/>
      <c r="AG7" s="211"/>
      <c r="AH7" s="211"/>
      <c r="AI7" s="211"/>
      <c r="AJ7" s="211"/>
      <c r="AK7" s="211"/>
      <c r="AM7" s="4"/>
      <c r="AN7" s="73">
        <v>2</v>
      </c>
      <c r="AO7" s="72">
        <v>5</v>
      </c>
      <c r="AP7" s="5"/>
      <c r="AQ7" s="5"/>
      <c r="AR7" s="72">
        <v>8</v>
      </c>
      <c r="AS7" s="72">
        <v>11</v>
      </c>
      <c r="AT7" s="5"/>
      <c r="AU7" s="5"/>
      <c r="AV7" s="72">
        <v>14</v>
      </c>
      <c r="AW7" s="72">
        <v>17</v>
      </c>
      <c r="AX7" s="5"/>
      <c r="AY7" s="5"/>
      <c r="AZ7" s="72">
        <v>20</v>
      </c>
      <c r="BA7" s="72">
        <v>22</v>
      </c>
      <c r="BB7" s="7"/>
      <c r="BC7" s="4"/>
      <c r="BD7" s="106">
        <v>2</v>
      </c>
      <c r="BE7" s="105">
        <v>5</v>
      </c>
      <c r="BG7" s="105">
        <v>8</v>
      </c>
      <c r="BH7" s="105">
        <v>11</v>
      </c>
      <c r="BJ7" s="105">
        <v>14</v>
      </c>
      <c r="BK7" s="105">
        <v>17</v>
      </c>
      <c r="BM7" s="105">
        <v>20</v>
      </c>
      <c r="BN7" s="105">
        <v>22</v>
      </c>
      <c r="BO7" s="7"/>
      <c r="BP7" s="8"/>
      <c r="BQ7" s="2">
        <v>3</v>
      </c>
      <c r="BR7" s="2">
        <v>6</v>
      </c>
      <c r="BT7" s="2">
        <v>9</v>
      </c>
      <c r="BU7" s="2">
        <v>12</v>
      </c>
      <c r="BW7" s="2">
        <v>15</v>
      </c>
      <c r="BX7" s="2">
        <v>18</v>
      </c>
      <c r="BZ7" s="2">
        <v>21</v>
      </c>
      <c r="CA7" s="2">
        <v>23</v>
      </c>
      <c r="CB7" s="9"/>
    </row>
    <row r="8" spans="3:80" ht="14.45" customHeight="1">
      <c r="C8" s="193"/>
      <c r="D8" s="193"/>
      <c r="E8" s="193"/>
      <c r="G8" s="199"/>
      <c r="H8" s="168"/>
      <c r="I8" s="168"/>
      <c r="J8" s="200"/>
      <c r="K8" s="196" t="s">
        <v>9</v>
      </c>
      <c r="L8" s="197"/>
      <c r="M8" s="198"/>
      <c r="N8" s="196" t="s">
        <v>10</v>
      </c>
      <c r="O8" s="197"/>
      <c r="P8" s="197"/>
      <c r="Q8" s="197"/>
      <c r="R8" s="197"/>
      <c r="S8" s="197"/>
      <c r="T8" s="197"/>
      <c r="U8" s="197"/>
      <c r="V8" s="197"/>
      <c r="W8" s="197"/>
      <c r="X8" s="197"/>
      <c r="Y8" s="197"/>
      <c r="Z8" s="197"/>
      <c r="AA8" s="197"/>
      <c r="AB8" s="198"/>
      <c r="AD8" s="5"/>
      <c r="AE8" s="5"/>
      <c r="AF8" s="5"/>
      <c r="AG8" s="5"/>
      <c r="AH8" s="5"/>
      <c r="AI8" s="5"/>
      <c r="AJ8" s="5"/>
      <c r="AK8" s="5"/>
      <c r="AL8" s="5"/>
      <c r="AM8" s="12"/>
      <c r="AN8" s="13"/>
      <c r="AO8" s="13"/>
      <c r="AP8" s="13"/>
      <c r="AQ8" s="13"/>
      <c r="AR8" s="13"/>
      <c r="AS8" s="206">
        <v>11002</v>
      </c>
      <c r="AT8" s="206"/>
      <c r="AU8" s="206"/>
      <c r="AV8" s="206"/>
      <c r="AW8" s="13"/>
      <c r="AX8" s="13"/>
      <c r="AY8" s="13"/>
      <c r="AZ8" s="13"/>
      <c r="BA8" s="13"/>
      <c r="BB8" s="14"/>
      <c r="BC8" s="12"/>
      <c r="BD8" s="15"/>
      <c r="BE8" s="15"/>
      <c r="BF8" s="15"/>
      <c r="BG8" s="15"/>
      <c r="BH8" s="206">
        <v>11006</v>
      </c>
      <c r="BI8" s="206"/>
      <c r="BJ8" s="206"/>
      <c r="BK8" s="15"/>
      <c r="BL8" s="15"/>
      <c r="BM8" s="15"/>
      <c r="BN8" s="15"/>
      <c r="BO8" s="14"/>
      <c r="BP8" s="16"/>
      <c r="BQ8" s="13"/>
      <c r="BR8" s="13"/>
      <c r="BS8" s="13"/>
      <c r="BT8" s="13"/>
      <c r="BU8" s="206">
        <v>11009</v>
      </c>
      <c r="BV8" s="206"/>
      <c r="BW8" s="206"/>
      <c r="BX8" s="13"/>
      <c r="BY8" s="13"/>
      <c r="BZ8" s="13"/>
      <c r="CA8" s="13"/>
      <c r="CB8" s="17"/>
    </row>
    <row r="9" spans="3:80">
      <c r="C9" s="193"/>
      <c r="D9" s="193"/>
      <c r="E9" s="193"/>
      <c r="G9" s="199"/>
      <c r="H9" s="168"/>
      <c r="I9" s="168"/>
      <c r="J9" s="200"/>
      <c r="K9" s="199"/>
      <c r="L9" s="168"/>
      <c r="M9" s="200"/>
      <c r="N9" s="199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  <c r="AA9" s="168"/>
      <c r="AB9" s="200"/>
      <c r="AD9" s="5"/>
      <c r="AE9" s="5"/>
      <c r="AF9" s="5"/>
      <c r="AG9" s="5"/>
      <c r="AH9" s="5"/>
      <c r="AI9" s="5"/>
      <c r="AJ9" s="5"/>
      <c r="AK9" s="5"/>
      <c r="AL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</row>
    <row r="10" spans="3:80">
      <c r="C10" s="193"/>
      <c r="D10" s="193"/>
      <c r="E10" s="193"/>
      <c r="G10" s="199"/>
      <c r="H10" s="168"/>
      <c r="I10" s="168"/>
      <c r="J10" s="200"/>
      <c r="K10" s="199"/>
      <c r="L10" s="168"/>
      <c r="M10" s="200"/>
      <c r="N10" s="199"/>
      <c r="O10" s="168"/>
      <c r="P10" s="168"/>
      <c r="Q10" s="168"/>
      <c r="R10" s="168"/>
      <c r="S10" s="168"/>
      <c r="T10" s="168"/>
      <c r="U10" s="168"/>
      <c r="V10" s="168"/>
      <c r="W10" s="168"/>
      <c r="X10" s="168"/>
      <c r="Y10" s="168"/>
      <c r="Z10" s="168"/>
      <c r="AA10" s="168"/>
      <c r="AB10" s="200"/>
      <c r="AD10" s="193" t="s">
        <v>11</v>
      </c>
      <c r="AE10" s="211"/>
      <c r="AF10" s="211"/>
      <c r="AG10" s="211"/>
      <c r="AH10" s="211"/>
      <c r="AI10" s="211"/>
      <c r="AJ10" s="211"/>
      <c r="AK10" s="211"/>
      <c r="AL10" s="211"/>
      <c r="AM10" s="211"/>
      <c r="AN10" s="211"/>
      <c r="AO10" s="193" t="s">
        <v>12</v>
      </c>
      <c r="AP10" s="211"/>
      <c r="AQ10" s="211"/>
      <c r="AR10" s="211"/>
      <c r="AS10" s="211"/>
      <c r="AT10" s="211"/>
      <c r="AU10" s="211"/>
      <c r="AV10" s="211"/>
      <c r="AW10" s="211"/>
      <c r="AX10" s="236" t="s">
        <v>13</v>
      </c>
      <c r="AY10" s="236"/>
      <c r="AZ10" s="236"/>
      <c r="BA10" s="193" t="s">
        <v>14</v>
      </c>
      <c r="BB10" s="211"/>
      <c r="BC10" s="211"/>
      <c r="BD10" s="211"/>
      <c r="BE10" s="211"/>
      <c r="BF10" s="193" t="s">
        <v>15</v>
      </c>
      <c r="BG10" s="211"/>
      <c r="BH10" s="211"/>
      <c r="BI10" s="211"/>
      <c r="BJ10" s="211"/>
      <c r="BK10" s="193" t="s">
        <v>16</v>
      </c>
      <c r="BL10" s="211"/>
      <c r="BM10" s="211"/>
      <c r="BO10" s="5"/>
      <c r="BP10" s="196" t="s">
        <v>17</v>
      </c>
      <c r="BQ10" s="246"/>
      <c r="BR10" s="246"/>
      <c r="BS10" s="246"/>
      <c r="BT10" s="246"/>
      <c r="BU10" s="246"/>
      <c r="BV10" s="246"/>
      <c r="BW10" s="246"/>
      <c r="BX10" s="246"/>
      <c r="BY10" s="246"/>
      <c r="BZ10" s="246"/>
      <c r="CA10" s="246"/>
      <c r="CB10" s="247"/>
    </row>
    <row r="11" spans="3:80" ht="36.75" customHeight="1">
      <c r="C11" s="193"/>
      <c r="D11" s="193"/>
      <c r="E11" s="193"/>
      <c r="G11" s="201"/>
      <c r="H11" s="202"/>
      <c r="I11" s="202"/>
      <c r="J11" s="203"/>
      <c r="K11" s="201"/>
      <c r="L11" s="202"/>
      <c r="M11" s="203"/>
      <c r="N11" s="201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3"/>
      <c r="AD11" s="211"/>
      <c r="AE11" s="211"/>
      <c r="AF11" s="211"/>
      <c r="AG11" s="211"/>
      <c r="AH11" s="211"/>
      <c r="AI11" s="211"/>
      <c r="AJ11" s="211"/>
      <c r="AK11" s="211"/>
      <c r="AL11" s="211"/>
      <c r="AM11" s="211"/>
      <c r="AN11" s="211"/>
      <c r="AO11" s="211"/>
      <c r="AP11" s="211"/>
      <c r="AQ11" s="211"/>
      <c r="AR11" s="211"/>
      <c r="AS11" s="211"/>
      <c r="AT11" s="211"/>
      <c r="AU11" s="211"/>
      <c r="AV11" s="211"/>
      <c r="AW11" s="211"/>
      <c r="AX11" s="236"/>
      <c r="AY11" s="236"/>
      <c r="AZ11" s="236"/>
      <c r="BA11" s="211"/>
      <c r="BB11" s="211"/>
      <c r="BC11" s="211"/>
      <c r="BD11" s="211"/>
      <c r="BE11" s="211"/>
      <c r="BF11" s="211"/>
      <c r="BG11" s="211"/>
      <c r="BH11" s="211"/>
      <c r="BI11" s="211"/>
      <c r="BJ11" s="211"/>
      <c r="BK11" s="211"/>
      <c r="BL11" s="211"/>
      <c r="BM11" s="211"/>
      <c r="BO11" s="5"/>
      <c r="BP11" s="248"/>
      <c r="BQ11" s="161"/>
      <c r="BR11" s="161"/>
      <c r="BS11" s="161"/>
      <c r="BT11" s="161"/>
      <c r="BU11" s="161"/>
      <c r="BV11" s="161"/>
      <c r="BW11" s="161"/>
      <c r="BX11" s="161"/>
      <c r="BY11" s="161"/>
      <c r="BZ11" s="161"/>
      <c r="CA11" s="161"/>
      <c r="CB11" s="249"/>
    </row>
    <row r="12" spans="3:80">
      <c r="C12" s="193"/>
      <c r="D12" s="193"/>
      <c r="E12" s="19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248"/>
      <c r="BQ12" s="161"/>
      <c r="BR12" s="161"/>
      <c r="BS12" s="161"/>
      <c r="BT12" s="161"/>
      <c r="BU12" s="161"/>
      <c r="BV12" s="161"/>
      <c r="BW12" s="161"/>
      <c r="BX12" s="161"/>
      <c r="BY12" s="161"/>
      <c r="BZ12" s="161"/>
      <c r="CA12" s="161"/>
      <c r="CB12" s="249"/>
    </row>
    <row r="13" spans="3:80">
      <c r="C13" s="193"/>
      <c r="D13" s="193"/>
      <c r="E13" s="193"/>
      <c r="G13" s="3"/>
      <c r="H13" s="206">
        <v>11056</v>
      </c>
      <c r="I13" s="206"/>
      <c r="J13" s="3"/>
      <c r="BP13" s="248"/>
      <c r="BQ13" s="161"/>
      <c r="BR13" s="161"/>
      <c r="BS13" s="161"/>
      <c r="BT13" s="161"/>
      <c r="BU13" s="161"/>
      <c r="BV13" s="161"/>
      <c r="BW13" s="161"/>
      <c r="BX13" s="161"/>
      <c r="BY13" s="161"/>
      <c r="BZ13" s="161"/>
      <c r="CA13" s="161"/>
      <c r="CB13" s="249"/>
    </row>
    <row r="14" spans="3:80" ht="14.1" customHeight="1">
      <c r="C14" s="193"/>
      <c r="D14" s="193"/>
      <c r="E14" s="193"/>
      <c r="F14" s="215"/>
      <c r="G14" s="216">
        <v>1</v>
      </c>
      <c r="H14" s="217"/>
      <c r="I14" s="216">
        <v>2</v>
      </c>
      <c r="J14" s="217"/>
      <c r="L14" s="193" t="s">
        <v>18</v>
      </c>
      <c r="M14" s="193"/>
      <c r="N14" s="193" t="s">
        <v>19</v>
      </c>
      <c r="O14" s="211" t="s">
        <v>20</v>
      </c>
      <c r="P14" s="211"/>
      <c r="Q14" s="211"/>
      <c r="R14" s="211"/>
      <c r="S14" s="211"/>
      <c r="T14" s="211"/>
      <c r="V14" s="214" t="s">
        <v>21</v>
      </c>
      <c r="W14" s="214"/>
      <c r="X14" s="214"/>
      <c r="Y14" s="214" t="s">
        <v>22</v>
      </c>
      <c r="Z14" s="214"/>
      <c r="AA14" s="214"/>
      <c r="AB14" s="214"/>
      <c r="AC14" s="214"/>
      <c r="AG14" s="214" t="s">
        <v>22</v>
      </c>
      <c r="AH14" s="214"/>
      <c r="AI14" s="214"/>
      <c r="AJ14" s="214"/>
      <c r="AK14" s="214"/>
      <c r="AL14" s="227" t="s">
        <v>23</v>
      </c>
      <c r="AM14" s="228"/>
      <c r="AN14" s="228"/>
      <c r="AO14" s="229"/>
      <c r="AP14" s="196" t="s">
        <v>24</v>
      </c>
      <c r="AQ14" s="197"/>
      <c r="AR14" s="197"/>
      <c r="AS14" s="198"/>
      <c r="AT14" s="237" t="s">
        <v>23</v>
      </c>
      <c r="AU14" s="238"/>
      <c r="AV14" s="238"/>
      <c r="AW14" s="239"/>
      <c r="AX14" s="214" t="s">
        <v>21</v>
      </c>
      <c r="AY14" s="214"/>
      <c r="AZ14" s="214"/>
      <c r="BA14" s="214"/>
      <c r="BB14" s="227" t="s">
        <v>25</v>
      </c>
      <c r="BC14" s="229"/>
      <c r="BF14" s="5"/>
      <c r="BG14" s="5"/>
      <c r="BH14" s="5"/>
      <c r="BI14" s="5"/>
      <c r="BJ14" s="5"/>
      <c r="BK14" s="5"/>
      <c r="BL14" s="5"/>
      <c r="BM14" s="5"/>
      <c r="BN14" s="5"/>
      <c r="BP14" s="250"/>
      <c r="BQ14" s="251"/>
      <c r="BR14" s="251"/>
      <c r="BS14" s="251"/>
      <c r="BT14" s="251"/>
      <c r="BU14" s="251"/>
      <c r="BV14" s="251"/>
      <c r="BW14" s="251"/>
      <c r="BX14" s="251"/>
      <c r="BY14" s="251"/>
      <c r="BZ14" s="251"/>
      <c r="CA14" s="251"/>
      <c r="CB14" s="252"/>
    </row>
    <row r="15" spans="3:80">
      <c r="C15" s="193"/>
      <c r="D15" s="193"/>
      <c r="E15" s="193"/>
      <c r="F15" s="215"/>
      <c r="G15" s="216">
        <v>6</v>
      </c>
      <c r="H15" s="217"/>
      <c r="I15" s="216">
        <v>3</v>
      </c>
      <c r="J15" s="217"/>
      <c r="L15" s="193"/>
      <c r="M15" s="193"/>
      <c r="N15" s="193"/>
      <c r="O15" s="211"/>
      <c r="P15" s="211"/>
      <c r="Q15" s="211"/>
      <c r="R15" s="211"/>
      <c r="S15" s="211"/>
      <c r="T15" s="211"/>
      <c r="V15" s="214"/>
      <c r="W15" s="214"/>
      <c r="X15" s="214"/>
      <c r="Y15" s="214"/>
      <c r="Z15" s="214"/>
      <c r="AA15" s="214"/>
      <c r="AB15" s="214"/>
      <c r="AC15" s="214"/>
      <c r="AG15" s="214"/>
      <c r="AH15" s="214"/>
      <c r="AI15" s="214"/>
      <c r="AJ15" s="214"/>
      <c r="AK15" s="214"/>
      <c r="AL15" s="230"/>
      <c r="AM15" s="231"/>
      <c r="AN15" s="231"/>
      <c r="AO15" s="232"/>
      <c r="AP15" s="199"/>
      <c r="AQ15" s="168"/>
      <c r="AR15" s="168"/>
      <c r="AS15" s="200"/>
      <c r="AT15" s="240"/>
      <c r="AU15" s="241"/>
      <c r="AV15" s="241"/>
      <c r="AW15" s="242"/>
      <c r="AX15" s="214"/>
      <c r="AY15" s="214"/>
      <c r="AZ15" s="214"/>
      <c r="BA15" s="214"/>
      <c r="BB15" s="230"/>
      <c r="BC15" s="232"/>
      <c r="BF15" s="211" t="s">
        <v>26</v>
      </c>
      <c r="BG15" s="211"/>
      <c r="BH15" s="211"/>
      <c r="BI15" s="211"/>
      <c r="BJ15" s="211"/>
      <c r="BK15" s="211"/>
      <c r="BL15" s="211"/>
      <c r="BM15" s="211"/>
      <c r="BP15" s="193" t="s">
        <v>27</v>
      </c>
      <c r="BQ15" s="211"/>
      <c r="BR15" s="211"/>
      <c r="BS15" s="211"/>
      <c r="BT15" s="211"/>
      <c r="BU15" s="211"/>
      <c r="BV15" s="211"/>
      <c r="BW15" s="211"/>
      <c r="BX15" s="211"/>
      <c r="BY15" s="211"/>
      <c r="BZ15" s="211"/>
      <c r="CA15" s="211"/>
      <c r="CB15" s="211"/>
    </row>
    <row r="16" spans="3:80">
      <c r="C16" s="193" t="s">
        <v>28</v>
      </c>
      <c r="D16" s="193"/>
      <c r="E16" s="193"/>
      <c r="F16" s="215"/>
      <c r="G16" s="216">
        <v>5</v>
      </c>
      <c r="H16" s="217"/>
      <c r="I16" s="216">
        <v>4</v>
      </c>
      <c r="J16" s="217"/>
      <c r="L16" s="193"/>
      <c r="M16" s="193"/>
      <c r="N16" s="193"/>
      <c r="O16" s="211"/>
      <c r="P16" s="211"/>
      <c r="Q16" s="211"/>
      <c r="R16" s="211"/>
      <c r="S16" s="211"/>
      <c r="T16" s="211"/>
      <c r="V16" s="214"/>
      <c r="W16" s="214"/>
      <c r="X16" s="214"/>
      <c r="Y16" s="214"/>
      <c r="Z16" s="214"/>
      <c r="AA16" s="214"/>
      <c r="AB16" s="214"/>
      <c r="AC16" s="214"/>
      <c r="AG16" s="214"/>
      <c r="AH16" s="214"/>
      <c r="AI16" s="214"/>
      <c r="AJ16" s="214"/>
      <c r="AK16" s="214"/>
      <c r="AL16" s="230"/>
      <c r="AM16" s="231"/>
      <c r="AN16" s="231"/>
      <c r="AO16" s="232"/>
      <c r="AP16" s="199"/>
      <c r="AQ16" s="168"/>
      <c r="AR16" s="168"/>
      <c r="AS16" s="200"/>
      <c r="AT16" s="240"/>
      <c r="AU16" s="241"/>
      <c r="AV16" s="241"/>
      <c r="AW16" s="242"/>
      <c r="AX16" s="214"/>
      <c r="AY16" s="214"/>
      <c r="AZ16" s="214"/>
      <c r="BA16" s="214"/>
      <c r="BB16" s="230"/>
      <c r="BC16" s="232"/>
      <c r="BF16" s="211"/>
      <c r="BG16" s="211"/>
      <c r="BH16" s="211"/>
      <c r="BI16" s="211"/>
      <c r="BJ16" s="211"/>
      <c r="BK16" s="211"/>
      <c r="BL16" s="211"/>
      <c r="BM16" s="211"/>
      <c r="BP16" s="211"/>
      <c r="BQ16" s="211"/>
      <c r="BR16" s="211"/>
      <c r="BS16" s="211"/>
      <c r="BT16" s="211"/>
      <c r="BU16" s="211"/>
      <c r="BV16" s="211"/>
      <c r="BW16" s="211"/>
      <c r="BX16" s="211"/>
      <c r="BY16" s="211"/>
      <c r="BZ16" s="211"/>
      <c r="CA16" s="211"/>
      <c r="CB16" s="211"/>
    </row>
    <row r="17" spans="3:81">
      <c r="C17" s="193"/>
      <c r="D17" s="193"/>
      <c r="E17" s="193"/>
      <c r="F17" s="215"/>
      <c r="G17" s="218" t="s">
        <v>29</v>
      </c>
      <c r="H17" s="218"/>
      <c r="I17" s="218"/>
      <c r="J17" s="218"/>
      <c r="L17" s="193"/>
      <c r="M17" s="193"/>
      <c r="N17" s="193"/>
      <c r="O17" s="211"/>
      <c r="P17" s="211"/>
      <c r="Q17" s="211"/>
      <c r="R17" s="211"/>
      <c r="S17" s="211"/>
      <c r="T17" s="211"/>
      <c r="V17" s="214"/>
      <c r="W17" s="214"/>
      <c r="X17" s="214"/>
      <c r="Y17" s="214"/>
      <c r="Z17" s="214"/>
      <c r="AA17" s="214"/>
      <c r="AB17" s="214"/>
      <c r="AC17" s="214"/>
      <c r="AG17" s="214"/>
      <c r="AH17" s="214"/>
      <c r="AI17" s="214"/>
      <c r="AJ17" s="214"/>
      <c r="AK17" s="214"/>
      <c r="AL17" s="230"/>
      <c r="AM17" s="231"/>
      <c r="AN17" s="231"/>
      <c r="AO17" s="232"/>
      <c r="AP17" s="199"/>
      <c r="AQ17" s="168"/>
      <c r="AR17" s="168"/>
      <c r="AS17" s="200"/>
      <c r="AT17" s="240"/>
      <c r="AU17" s="241"/>
      <c r="AV17" s="241"/>
      <c r="AW17" s="242"/>
      <c r="AX17" s="214"/>
      <c r="AY17" s="214"/>
      <c r="AZ17" s="214"/>
      <c r="BA17" s="214"/>
      <c r="BB17" s="230"/>
      <c r="BC17" s="232"/>
      <c r="BF17" s="211"/>
      <c r="BG17" s="211"/>
      <c r="BH17" s="211"/>
      <c r="BI17" s="211"/>
      <c r="BJ17" s="211"/>
      <c r="BK17" s="211"/>
      <c r="BL17" s="211"/>
      <c r="BM17" s="211"/>
      <c r="BP17" s="211"/>
      <c r="BQ17" s="211"/>
      <c r="BR17" s="211"/>
      <c r="BS17" s="211"/>
      <c r="BT17" s="211"/>
      <c r="BU17" s="211"/>
      <c r="BV17" s="211"/>
      <c r="BW17" s="211"/>
      <c r="BX17" s="211"/>
      <c r="BY17" s="211"/>
      <c r="BZ17" s="211"/>
      <c r="CA17" s="211"/>
      <c r="CB17" s="211"/>
    </row>
    <row r="18" spans="3:81">
      <c r="C18" s="193"/>
      <c r="D18" s="193"/>
      <c r="E18" s="193"/>
      <c r="F18" s="215"/>
      <c r="G18" s="212">
        <v>1</v>
      </c>
      <c r="H18" s="213"/>
      <c r="I18" s="212">
        <v>2</v>
      </c>
      <c r="J18" s="213"/>
      <c r="L18" s="193" t="s">
        <v>30</v>
      </c>
      <c r="M18" s="193"/>
      <c r="N18" s="193"/>
      <c r="O18" s="211"/>
      <c r="P18" s="211"/>
      <c r="Q18" s="211"/>
      <c r="R18" s="211"/>
      <c r="S18" s="211"/>
      <c r="T18" s="211"/>
      <c r="V18" s="214"/>
      <c r="W18" s="214"/>
      <c r="X18" s="214"/>
      <c r="Y18" s="214"/>
      <c r="Z18" s="214"/>
      <c r="AA18" s="214"/>
      <c r="AB18" s="214"/>
      <c r="AC18" s="214"/>
      <c r="AG18" s="214"/>
      <c r="AH18" s="214"/>
      <c r="AI18" s="214"/>
      <c r="AJ18" s="214"/>
      <c r="AK18" s="214"/>
      <c r="AL18" s="230"/>
      <c r="AM18" s="231"/>
      <c r="AN18" s="231"/>
      <c r="AO18" s="232"/>
      <c r="AP18" s="199"/>
      <c r="AQ18" s="168"/>
      <c r="AR18" s="168"/>
      <c r="AS18" s="200"/>
      <c r="AT18" s="240"/>
      <c r="AU18" s="241"/>
      <c r="AV18" s="241"/>
      <c r="AW18" s="242"/>
      <c r="AX18" s="214"/>
      <c r="AY18" s="214"/>
      <c r="AZ18" s="214"/>
      <c r="BA18" s="214"/>
      <c r="BB18" s="230"/>
      <c r="BC18" s="232"/>
      <c r="BF18" s="211"/>
      <c r="BG18" s="211"/>
      <c r="BH18" s="211"/>
      <c r="BI18" s="211"/>
      <c r="BJ18" s="211"/>
      <c r="BK18" s="211"/>
      <c r="BL18" s="211"/>
      <c r="BM18" s="211"/>
      <c r="BP18" s="211"/>
      <c r="BQ18" s="211"/>
      <c r="BR18" s="211"/>
      <c r="BS18" s="211"/>
      <c r="BT18" s="211"/>
      <c r="BU18" s="211"/>
      <c r="BV18" s="211"/>
      <c r="BW18" s="211"/>
      <c r="BX18" s="211"/>
      <c r="BY18" s="211"/>
      <c r="BZ18" s="211"/>
      <c r="CA18" s="211"/>
      <c r="CB18" s="211"/>
    </row>
    <row r="19" spans="3:81">
      <c r="C19" s="193"/>
      <c r="D19" s="193"/>
      <c r="E19" s="193"/>
      <c r="F19" s="215"/>
      <c r="G19" s="212">
        <v>6</v>
      </c>
      <c r="H19" s="213"/>
      <c r="I19" s="212">
        <v>3</v>
      </c>
      <c r="J19" s="213"/>
      <c r="L19" s="193"/>
      <c r="M19" s="193"/>
      <c r="N19" s="193"/>
      <c r="O19" s="211"/>
      <c r="P19" s="211"/>
      <c r="Q19" s="211"/>
      <c r="R19" s="211"/>
      <c r="S19" s="211"/>
      <c r="T19" s="211"/>
      <c r="V19" s="214"/>
      <c r="W19" s="214"/>
      <c r="X19" s="214"/>
      <c r="Y19" s="214"/>
      <c r="Z19" s="214"/>
      <c r="AA19" s="214"/>
      <c r="AB19" s="214"/>
      <c r="AC19" s="214"/>
      <c r="AG19" s="214"/>
      <c r="AH19" s="214"/>
      <c r="AI19" s="214"/>
      <c r="AJ19" s="214"/>
      <c r="AK19" s="214"/>
      <c r="AL19" s="230"/>
      <c r="AM19" s="231"/>
      <c r="AN19" s="231"/>
      <c r="AO19" s="232"/>
      <c r="AP19" s="199"/>
      <c r="AQ19" s="168"/>
      <c r="AR19" s="168"/>
      <c r="AS19" s="200"/>
      <c r="AT19" s="240"/>
      <c r="AU19" s="241"/>
      <c r="AV19" s="241"/>
      <c r="AW19" s="242"/>
      <c r="AX19" s="214"/>
      <c r="AY19" s="214"/>
      <c r="AZ19" s="214"/>
      <c r="BA19" s="214"/>
      <c r="BB19" s="230"/>
      <c r="BC19" s="232"/>
      <c r="BF19" s="211" t="s">
        <v>31</v>
      </c>
      <c r="BG19" s="211"/>
      <c r="BH19" s="211"/>
      <c r="BI19" s="211"/>
      <c r="BJ19" s="211"/>
      <c r="BK19" s="211"/>
      <c r="BL19" s="211"/>
      <c r="BM19" s="211"/>
      <c r="BP19" s="211"/>
      <c r="BQ19" s="211"/>
      <c r="BR19" s="211"/>
      <c r="BS19" s="211"/>
      <c r="BT19" s="211"/>
      <c r="BU19" s="211"/>
      <c r="BV19" s="211"/>
      <c r="BW19" s="211"/>
      <c r="BX19" s="211"/>
      <c r="BY19" s="211"/>
      <c r="BZ19" s="211"/>
      <c r="CA19" s="211"/>
      <c r="CB19" s="211"/>
    </row>
    <row r="20" spans="3:81">
      <c r="C20" s="193"/>
      <c r="D20" s="193"/>
      <c r="E20" s="193"/>
      <c r="F20" s="215"/>
      <c r="G20" s="212">
        <v>5</v>
      </c>
      <c r="H20" s="213"/>
      <c r="I20" s="212">
        <v>4</v>
      </c>
      <c r="J20" s="213"/>
      <c r="L20" s="193"/>
      <c r="M20" s="193"/>
      <c r="N20" s="193" t="s">
        <v>32</v>
      </c>
      <c r="O20" s="211" t="s">
        <v>33</v>
      </c>
      <c r="P20" s="211"/>
      <c r="Q20" s="211"/>
      <c r="R20" s="211"/>
      <c r="S20" s="211"/>
      <c r="T20" s="211"/>
      <c r="V20" s="214"/>
      <c r="W20" s="214"/>
      <c r="X20" s="214"/>
      <c r="Y20" s="214"/>
      <c r="Z20" s="214"/>
      <c r="AA20" s="214"/>
      <c r="AB20" s="214"/>
      <c r="AC20" s="214"/>
      <c r="AG20" s="214"/>
      <c r="AH20" s="214"/>
      <c r="AI20" s="214"/>
      <c r="AJ20" s="214"/>
      <c r="AK20" s="214"/>
      <c r="AL20" s="230"/>
      <c r="AM20" s="231"/>
      <c r="AN20" s="231"/>
      <c r="AO20" s="232"/>
      <c r="AP20" s="199"/>
      <c r="AQ20" s="168"/>
      <c r="AR20" s="168"/>
      <c r="AS20" s="200"/>
      <c r="AT20" s="240"/>
      <c r="AU20" s="241"/>
      <c r="AV20" s="241"/>
      <c r="AW20" s="242"/>
      <c r="AX20" s="214"/>
      <c r="AY20" s="214"/>
      <c r="AZ20" s="214"/>
      <c r="BA20" s="214"/>
      <c r="BB20" s="230"/>
      <c r="BC20" s="232"/>
      <c r="BF20" s="211"/>
      <c r="BG20" s="211"/>
      <c r="BH20" s="211"/>
      <c r="BI20" s="211"/>
      <c r="BJ20" s="211"/>
      <c r="BK20" s="211"/>
      <c r="BL20" s="211"/>
      <c r="BM20" s="211"/>
      <c r="BP20" s="211"/>
      <c r="BQ20" s="211"/>
      <c r="BR20" s="211"/>
      <c r="BS20" s="211"/>
      <c r="BT20" s="211"/>
      <c r="BU20" s="211"/>
      <c r="BV20" s="211"/>
      <c r="BW20" s="211"/>
      <c r="BX20" s="211"/>
      <c r="BY20" s="211"/>
      <c r="BZ20" s="211"/>
      <c r="CA20" s="211"/>
      <c r="CB20" s="211"/>
    </row>
    <row r="21" spans="3:81" ht="14.1" customHeight="1">
      <c r="C21" s="193" t="s">
        <v>34</v>
      </c>
      <c r="D21" s="193"/>
      <c r="E21" s="193"/>
      <c r="F21" s="215"/>
      <c r="H21" s="207">
        <v>11053</v>
      </c>
      <c r="I21" s="207"/>
      <c r="L21" s="193"/>
      <c r="M21" s="193"/>
      <c r="N21" s="193"/>
      <c r="O21" s="211"/>
      <c r="P21" s="211"/>
      <c r="Q21" s="211"/>
      <c r="R21" s="211"/>
      <c r="S21" s="211"/>
      <c r="T21" s="211"/>
      <c r="V21" s="214"/>
      <c r="W21" s="214"/>
      <c r="X21" s="214"/>
      <c r="Y21" s="214"/>
      <c r="Z21" s="214"/>
      <c r="AA21" s="214"/>
      <c r="AB21" s="214"/>
      <c r="AC21" s="214"/>
      <c r="AG21" s="214"/>
      <c r="AH21" s="214"/>
      <c r="AI21" s="214"/>
      <c r="AJ21" s="214"/>
      <c r="AK21" s="214"/>
      <c r="AL21" s="230"/>
      <c r="AM21" s="231"/>
      <c r="AN21" s="231"/>
      <c r="AO21" s="232"/>
      <c r="AP21" s="199"/>
      <c r="AQ21" s="168"/>
      <c r="AR21" s="168"/>
      <c r="AS21" s="200"/>
      <c r="AT21" s="240"/>
      <c r="AU21" s="241"/>
      <c r="AV21" s="241"/>
      <c r="AW21" s="242"/>
      <c r="AX21" s="214"/>
      <c r="AY21" s="214"/>
      <c r="AZ21" s="214"/>
      <c r="BA21" s="214"/>
      <c r="BB21" s="230"/>
      <c r="BC21" s="232"/>
      <c r="BF21" s="211"/>
      <c r="BG21" s="211"/>
      <c r="BH21" s="211"/>
      <c r="BI21" s="211"/>
      <c r="BJ21" s="211"/>
      <c r="BK21" s="211"/>
      <c r="BL21" s="211"/>
      <c r="BM21" s="211"/>
      <c r="BP21" s="211" t="s">
        <v>35</v>
      </c>
      <c r="BQ21" s="211"/>
      <c r="BR21" s="211"/>
      <c r="BS21" s="193" t="s">
        <v>36</v>
      </c>
      <c r="BT21" s="211"/>
      <c r="BU21" s="211"/>
      <c r="BV21" s="211"/>
      <c r="BW21" s="211"/>
      <c r="BX21" s="193" t="s">
        <v>37</v>
      </c>
      <c r="BY21" s="211"/>
      <c r="BZ21" s="211"/>
      <c r="CA21" s="211"/>
      <c r="CB21" s="211"/>
    </row>
    <row r="22" spans="3:81">
      <c r="C22" s="193"/>
      <c r="D22" s="193"/>
      <c r="E22" s="193"/>
      <c r="F22" s="215"/>
      <c r="G22" s="212">
        <v>1</v>
      </c>
      <c r="H22" s="213"/>
      <c r="I22" s="212">
        <v>2</v>
      </c>
      <c r="J22" s="213"/>
      <c r="L22" s="193" t="s">
        <v>38</v>
      </c>
      <c r="M22" s="193"/>
      <c r="N22" s="193"/>
      <c r="O22" s="211"/>
      <c r="P22" s="211"/>
      <c r="Q22" s="211"/>
      <c r="R22" s="211"/>
      <c r="S22" s="211"/>
      <c r="T22" s="211"/>
      <c r="V22" s="214"/>
      <c r="W22" s="214"/>
      <c r="X22" s="214"/>
      <c r="Y22" s="214"/>
      <c r="Z22" s="214"/>
      <c r="AA22" s="214"/>
      <c r="AB22" s="214"/>
      <c r="AC22" s="214"/>
      <c r="AG22" s="214"/>
      <c r="AH22" s="214"/>
      <c r="AI22" s="214"/>
      <c r="AJ22" s="214"/>
      <c r="AK22" s="214"/>
      <c r="AL22" s="230"/>
      <c r="AM22" s="231"/>
      <c r="AN22" s="231"/>
      <c r="AO22" s="232"/>
      <c r="AP22" s="199"/>
      <c r="AQ22" s="168"/>
      <c r="AR22" s="168"/>
      <c r="AS22" s="200"/>
      <c r="AT22" s="240"/>
      <c r="AU22" s="241"/>
      <c r="AV22" s="241"/>
      <c r="AW22" s="242"/>
      <c r="AX22" s="214"/>
      <c r="AY22" s="214"/>
      <c r="AZ22" s="214"/>
      <c r="BA22" s="214"/>
      <c r="BB22" s="230"/>
      <c r="BC22" s="232"/>
      <c r="BF22" s="211"/>
      <c r="BG22" s="211"/>
      <c r="BH22" s="211"/>
      <c r="BI22" s="211"/>
      <c r="BJ22" s="211"/>
      <c r="BK22" s="211"/>
      <c r="BL22" s="211"/>
      <c r="BM22" s="211"/>
      <c r="BP22" s="211"/>
      <c r="BQ22" s="211"/>
      <c r="BR22" s="211"/>
      <c r="BS22" s="211"/>
      <c r="BT22" s="211"/>
      <c r="BU22" s="211"/>
      <c r="BV22" s="211"/>
      <c r="BW22" s="211"/>
      <c r="BX22" s="211"/>
      <c r="BY22" s="211"/>
      <c r="BZ22" s="211"/>
      <c r="CA22" s="211"/>
      <c r="CB22" s="211"/>
    </row>
    <row r="23" spans="3:81">
      <c r="C23" s="193"/>
      <c r="D23" s="193"/>
      <c r="E23" s="193"/>
      <c r="F23" s="215"/>
      <c r="G23" s="212">
        <v>6</v>
      </c>
      <c r="H23" s="213"/>
      <c r="I23" s="212">
        <v>3</v>
      </c>
      <c r="J23" s="213"/>
      <c r="L23" s="193"/>
      <c r="M23" s="193"/>
      <c r="N23" s="193"/>
      <c r="O23" s="211"/>
      <c r="P23" s="211"/>
      <c r="Q23" s="211"/>
      <c r="R23" s="211"/>
      <c r="S23" s="211"/>
      <c r="T23" s="211"/>
      <c r="V23" s="214"/>
      <c r="W23" s="214"/>
      <c r="X23" s="214"/>
      <c r="Y23" s="214"/>
      <c r="Z23" s="214"/>
      <c r="AA23" s="214"/>
      <c r="AB23" s="214"/>
      <c r="AC23" s="214"/>
      <c r="AG23" s="214"/>
      <c r="AH23" s="214"/>
      <c r="AI23" s="214"/>
      <c r="AJ23" s="214"/>
      <c r="AK23" s="214"/>
      <c r="AL23" s="230"/>
      <c r="AM23" s="231"/>
      <c r="AN23" s="231"/>
      <c r="AO23" s="232"/>
      <c r="AP23" s="199"/>
      <c r="AQ23" s="168"/>
      <c r="AR23" s="168"/>
      <c r="AS23" s="200"/>
      <c r="AT23" s="240"/>
      <c r="AU23" s="241"/>
      <c r="AV23" s="241"/>
      <c r="AW23" s="242"/>
      <c r="AX23" s="214"/>
      <c r="AY23" s="214"/>
      <c r="AZ23" s="214"/>
      <c r="BA23" s="214"/>
      <c r="BB23" s="233"/>
      <c r="BC23" s="235"/>
      <c r="BF23" s="211" t="s">
        <v>39</v>
      </c>
      <c r="BG23" s="211"/>
      <c r="BH23" s="211"/>
      <c r="BI23" s="211"/>
      <c r="BJ23" s="211" t="s">
        <v>40</v>
      </c>
      <c r="BK23" s="211"/>
      <c r="BL23" s="211"/>
      <c r="BM23" s="211"/>
      <c r="BP23" s="211"/>
      <c r="BQ23" s="211"/>
      <c r="BR23" s="211"/>
      <c r="BS23" s="211"/>
      <c r="BT23" s="211"/>
      <c r="BU23" s="211"/>
      <c r="BV23" s="211"/>
      <c r="BW23" s="211"/>
      <c r="BX23" s="211"/>
      <c r="BY23" s="211"/>
      <c r="BZ23" s="211"/>
      <c r="CA23" s="211"/>
      <c r="CB23" s="211"/>
    </row>
    <row r="24" spans="3:81">
      <c r="C24" s="193"/>
      <c r="D24" s="193"/>
      <c r="E24" s="193"/>
      <c r="F24" s="215"/>
      <c r="G24" s="212">
        <v>5</v>
      </c>
      <c r="H24" s="213"/>
      <c r="I24" s="212">
        <v>4</v>
      </c>
      <c r="J24" s="213"/>
      <c r="L24" s="193"/>
      <c r="M24" s="193"/>
      <c r="N24" s="193"/>
      <c r="O24" s="211"/>
      <c r="P24" s="211"/>
      <c r="Q24" s="211"/>
      <c r="R24" s="211"/>
      <c r="S24" s="211"/>
      <c r="T24" s="211"/>
      <c r="V24" s="214"/>
      <c r="W24" s="214"/>
      <c r="X24" s="214"/>
      <c r="Y24" s="214"/>
      <c r="Z24" s="214"/>
      <c r="AA24" s="214"/>
      <c r="AB24" s="214"/>
      <c r="AC24" s="214"/>
      <c r="AG24" s="214"/>
      <c r="AH24" s="214"/>
      <c r="AI24" s="214"/>
      <c r="AJ24" s="214"/>
      <c r="AK24" s="214"/>
      <c r="AL24" s="230"/>
      <c r="AM24" s="231"/>
      <c r="AN24" s="231"/>
      <c r="AO24" s="232"/>
      <c r="AP24" s="199"/>
      <c r="AQ24" s="168"/>
      <c r="AR24" s="168"/>
      <c r="AS24" s="200"/>
      <c r="AT24" s="240"/>
      <c r="AU24" s="241"/>
      <c r="AV24" s="241"/>
      <c r="AW24" s="242"/>
      <c r="AX24" s="214"/>
      <c r="AY24" s="214"/>
      <c r="AZ24" s="214"/>
      <c r="BA24" s="214"/>
      <c r="BF24" s="211"/>
      <c r="BG24" s="211"/>
      <c r="BH24" s="211"/>
      <c r="BI24" s="211"/>
      <c r="BJ24" s="211"/>
      <c r="BK24" s="211"/>
      <c r="BL24" s="211"/>
      <c r="BM24" s="211"/>
      <c r="BP24" s="211"/>
      <c r="BQ24" s="211"/>
      <c r="BR24" s="211"/>
      <c r="BS24" s="211"/>
      <c r="BT24" s="211"/>
      <c r="BU24" s="211"/>
      <c r="BV24" s="211"/>
      <c r="BW24" s="211"/>
      <c r="BX24" s="211"/>
      <c r="BY24" s="211"/>
      <c r="BZ24" s="211"/>
      <c r="CA24" s="211"/>
      <c r="CB24" s="211"/>
    </row>
    <row r="25" spans="3:81">
      <c r="C25" s="193"/>
      <c r="D25" s="193"/>
      <c r="E25" s="193"/>
      <c r="F25" s="215"/>
      <c r="H25" s="187">
        <v>11052</v>
      </c>
      <c r="I25" s="187"/>
      <c r="L25" s="193"/>
      <c r="M25" s="193"/>
      <c r="N25" s="193"/>
      <c r="O25" s="211"/>
      <c r="P25" s="211"/>
      <c r="Q25" s="211"/>
      <c r="R25" s="211"/>
      <c r="S25" s="211"/>
      <c r="T25" s="211"/>
      <c r="V25" s="214"/>
      <c r="W25" s="214"/>
      <c r="X25" s="214"/>
      <c r="Y25" s="214"/>
      <c r="Z25" s="214"/>
      <c r="AA25" s="214"/>
      <c r="AB25" s="214"/>
      <c r="AC25" s="214"/>
      <c r="AG25" s="214"/>
      <c r="AH25" s="214"/>
      <c r="AI25" s="214"/>
      <c r="AJ25" s="214"/>
      <c r="AK25" s="214"/>
      <c r="AL25" s="233"/>
      <c r="AM25" s="234"/>
      <c r="AN25" s="234"/>
      <c r="AO25" s="235"/>
      <c r="AP25" s="201"/>
      <c r="AQ25" s="202"/>
      <c r="AR25" s="202"/>
      <c r="AS25" s="203"/>
      <c r="AT25" s="243"/>
      <c r="AU25" s="244"/>
      <c r="AV25" s="244"/>
      <c r="AW25" s="245"/>
      <c r="AX25" s="214"/>
      <c r="AY25" s="214"/>
      <c r="AZ25" s="214"/>
      <c r="BA25" s="214"/>
      <c r="BP25" s="211"/>
      <c r="BQ25" s="211"/>
      <c r="BR25" s="211"/>
      <c r="BS25" s="211"/>
      <c r="BT25" s="211"/>
      <c r="BU25" s="211"/>
      <c r="BV25" s="211"/>
      <c r="BW25" s="211"/>
      <c r="BX25" s="211"/>
      <c r="BY25" s="211"/>
      <c r="BZ25" s="211"/>
      <c r="CA25" s="211"/>
      <c r="CB25" s="211"/>
    </row>
    <row r="26" spans="3:81">
      <c r="C26" s="3"/>
      <c r="D26" s="3"/>
      <c r="E26" s="3"/>
      <c r="L26" s="3"/>
      <c r="M26" s="3"/>
      <c r="N26" s="3"/>
    </row>
    <row r="27" spans="3:81" ht="14.1" customHeight="1">
      <c r="I27" s="206">
        <v>11045</v>
      </c>
      <c r="J27" s="206"/>
      <c r="BH27" s="222" t="s">
        <v>41</v>
      </c>
      <c r="BI27" s="222"/>
      <c r="BJ27" s="222"/>
      <c r="BN27" s="3"/>
    </row>
    <row r="28" spans="3:81" ht="18.95" customHeight="1">
      <c r="C28" s="114">
        <v>1</v>
      </c>
      <c r="D28" s="114">
        <v>2</v>
      </c>
      <c r="E28" s="114">
        <v>3</v>
      </c>
      <c r="G28" s="208">
        <v>7</v>
      </c>
      <c r="H28" s="209"/>
      <c r="I28" s="208">
        <v>8</v>
      </c>
      <c r="J28" s="209"/>
      <c r="K28" s="210">
        <v>9</v>
      </c>
      <c r="L28" s="210"/>
      <c r="N28" s="115">
        <v>1</v>
      </c>
      <c r="O28" s="115">
        <v>5</v>
      </c>
      <c r="Q28" s="115">
        <v>1</v>
      </c>
      <c r="R28" s="115">
        <v>5</v>
      </c>
      <c r="S28" s="21"/>
      <c r="T28" s="58">
        <v>1</v>
      </c>
      <c r="U28" s="58">
        <v>5</v>
      </c>
      <c r="W28" s="58">
        <v>1</v>
      </c>
      <c r="X28" s="58">
        <v>5</v>
      </c>
      <c r="AC28" s="58">
        <v>1</v>
      </c>
      <c r="AD28" s="58">
        <v>5</v>
      </c>
      <c r="AE28" s="21"/>
      <c r="AF28" s="58">
        <v>1</v>
      </c>
      <c r="AG28" s="58">
        <v>5</v>
      </c>
      <c r="AH28" s="21"/>
      <c r="AI28" s="21"/>
      <c r="AJ28" s="58">
        <v>1</v>
      </c>
      <c r="AK28" s="58">
        <v>5</v>
      </c>
      <c r="AL28" s="21"/>
      <c r="AM28" s="21"/>
      <c r="AN28" s="116">
        <v>1</v>
      </c>
      <c r="AO28" s="116">
        <v>5</v>
      </c>
      <c r="AP28" s="21"/>
      <c r="AQ28" s="21"/>
      <c r="AR28" s="116">
        <v>1</v>
      </c>
      <c r="AS28" s="116">
        <v>5</v>
      </c>
      <c r="AT28" s="21"/>
      <c r="AU28" s="21"/>
      <c r="AV28" s="116">
        <v>1</v>
      </c>
      <c r="AW28" s="116">
        <v>5</v>
      </c>
      <c r="AX28" s="21"/>
      <c r="AY28" s="21"/>
      <c r="AZ28" s="116">
        <v>1</v>
      </c>
      <c r="BA28" s="116">
        <v>5</v>
      </c>
      <c r="BF28" s="2"/>
      <c r="BG28" s="2"/>
      <c r="BH28" s="2"/>
      <c r="BI28" s="2"/>
      <c r="BJ28" s="2"/>
      <c r="BK28" s="2"/>
      <c r="BL28" s="2"/>
      <c r="BN28" s="3"/>
      <c r="BP28" s="22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18"/>
      <c r="CC28" s="1" t="s">
        <v>90</v>
      </c>
    </row>
    <row r="29" spans="3:81" ht="14.45" customHeight="1">
      <c r="C29" s="114">
        <v>6</v>
      </c>
      <c r="D29" s="114">
        <v>5</v>
      </c>
      <c r="E29" s="114">
        <v>4</v>
      </c>
      <c r="G29" s="208">
        <v>6</v>
      </c>
      <c r="H29" s="209"/>
      <c r="I29" s="208">
        <v>5</v>
      </c>
      <c r="J29" s="209"/>
      <c r="K29" s="210">
        <v>4</v>
      </c>
      <c r="L29" s="210"/>
      <c r="N29" s="115">
        <v>2</v>
      </c>
      <c r="O29" s="115">
        <v>6</v>
      </c>
      <c r="Q29" s="115">
        <v>2</v>
      </c>
      <c r="R29" s="115">
        <v>6</v>
      </c>
      <c r="S29" s="21"/>
      <c r="T29" s="58">
        <v>2</v>
      </c>
      <c r="U29" s="58">
        <v>6</v>
      </c>
      <c r="W29" s="58">
        <v>2</v>
      </c>
      <c r="X29" s="58">
        <v>6</v>
      </c>
      <c r="Y29" s="223" t="s">
        <v>42</v>
      </c>
      <c r="Z29" s="204"/>
      <c r="AA29" s="204"/>
      <c r="AB29" s="224"/>
      <c r="AC29" s="58">
        <v>2</v>
      </c>
      <c r="AD29" s="58">
        <v>6</v>
      </c>
      <c r="AE29" s="21"/>
      <c r="AF29" s="58">
        <v>2</v>
      </c>
      <c r="AG29" s="58">
        <v>6</v>
      </c>
      <c r="AH29" s="21"/>
      <c r="AI29" s="21"/>
      <c r="AJ29" s="58">
        <v>2</v>
      </c>
      <c r="AK29" s="58">
        <v>6</v>
      </c>
      <c r="AL29" s="21"/>
      <c r="AM29" s="21"/>
      <c r="AN29" s="116">
        <v>2</v>
      </c>
      <c r="AO29" s="116">
        <v>6</v>
      </c>
      <c r="AP29" s="21"/>
      <c r="AQ29" s="21"/>
      <c r="AR29" s="116">
        <v>2</v>
      </c>
      <c r="AS29" s="116">
        <v>6</v>
      </c>
      <c r="AT29" s="21"/>
      <c r="AU29" s="21"/>
      <c r="AV29" s="116">
        <v>2</v>
      </c>
      <c r="AW29" s="116">
        <v>6</v>
      </c>
      <c r="AX29" s="21"/>
      <c r="AY29" s="21"/>
      <c r="AZ29" s="116">
        <v>2</v>
      </c>
      <c r="BA29" s="116">
        <v>6</v>
      </c>
      <c r="BF29" s="193" t="s">
        <v>43</v>
      </c>
      <c r="BG29" s="193"/>
      <c r="BH29" s="193"/>
      <c r="BI29" s="193"/>
      <c r="BJ29" s="193" t="s">
        <v>44</v>
      </c>
      <c r="BK29" s="193"/>
      <c r="BL29" s="193"/>
      <c r="BM29" s="193"/>
      <c r="BN29" s="3"/>
      <c r="BP29" s="8"/>
      <c r="BQ29" s="78">
        <v>1</v>
      </c>
      <c r="BR29" s="78">
        <v>2</v>
      </c>
      <c r="BS29" s="78">
        <v>3</v>
      </c>
      <c r="BT29" s="78">
        <v>4</v>
      </c>
      <c r="BW29" s="78">
        <v>9</v>
      </c>
      <c r="BX29" s="78">
        <v>10</v>
      </c>
      <c r="BY29" s="78">
        <v>11</v>
      </c>
      <c r="BZ29" s="78">
        <v>12</v>
      </c>
      <c r="CB29" s="78">
        <v>17</v>
      </c>
    </row>
    <row r="30" spans="3:81" ht="14.45" customHeight="1">
      <c r="C30" s="207">
        <v>11049</v>
      </c>
      <c r="D30" s="207"/>
      <c r="E30" s="207"/>
      <c r="G30" s="208">
        <v>1</v>
      </c>
      <c r="H30" s="209"/>
      <c r="I30" s="208">
        <v>2</v>
      </c>
      <c r="J30" s="209"/>
      <c r="K30" s="210">
        <v>3</v>
      </c>
      <c r="L30" s="210"/>
      <c r="N30" s="115">
        <v>3</v>
      </c>
      <c r="O30" s="115">
        <v>7</v>
      </c>
      <c r="Q30" s="115">
        <v>3</v>
      </c>
      <c r="R30" s="115">
        <v>7</v>
      </c>
      <c r="S30" s="21"/>
      <c r="T30" s="58">
        <v>3</v>
      </c>
      <c r="U30" s="58">
        <v>7</v>
      </c>
      <c r="W30" s="58">
        <v>3</v>
      </c>
      <c r="X30" s="58">
        <v>7</v>
      </c>
      <c r="AC30" s="58">
        <v>3</v>
      </c>
      <c r="AD30" s="58">
        <v>7</v>
      </c>
      <c r="AE30" s="21"/>
      <c r="AF30" s="58">
        <v>3</v>
      </c>
      <c r="AG30" s="58">
        <v>7</v>
      </c>
      <c r="AH30" s="21"/>
      <c r="AI30" s="21"/>
      <c r="AJ30" s="58">
        <v>3</v>
      </c>
      <c r="AK30" s="58">
        <v>7</v>
      </c>
      <c r="AL30" s="21"/>
      <c r="AM30" s="21"/>
      <c r="AN30" s="116">
        <v>3</v>
      </c>
      <c r="AO30" s="116">
        <v>7</v>
      </c>
      <c r="AP30" s="21"/>
      <c r="AQ30" s="21"/>
      <c r="AR30" s="116">
        <v>3</v>
      </c>
      <c r="AS30" s="116">
        <v>7</v>
      </c>
      <c r="AT30" s="21"/>
      <c r="AU30" s="21"/>
      <c r="AV30" s="116">
        <v>3</v>
      </c>
      <c r="AW30" s="116">
        <v>7</v>
      </c>
      <c r="AX30" s="21"/>
      <c r="AY30" s="21"/>
      <c r="AZ30" s="116">
        <v>3</v>
      </c>
      <c r="BA30" s="116">
        <v>7</v>
      </c>
      <c r="BF30" s="193"/>
      <c r="BG30" s="193"/>
      <c r="BH30" s="193"/>
      <c r="BI30" s="193"/>
      <c r="BJ30" s="193"/>
      <c r="BK30" s="193"/>
      <c r="BL30" s="193"/>
      <c r="BM30" s="193"/>
      <c r="BN30" s="3"/>
      <c r="BP30" s="8"/>
      <c r="BQ30" s="78">
        <v>5</v>
      </c>
      <c r="BR30" s="78">
        <v>6</v>
      </c>
      <c r="BS30" s="78">
        <v>7</v>
      </c>
      <c r="BT30" s="78">
        <v>8</v>
      </c>
      <c r="BU30" s="219">
        <v>11015</v>
      </c>
      <c r="BV30" s="220"/>
      <c r="BW30" s="78">
        <v>13</v>
      </c>
      <c r="BX30" s="78">
        <v>14</v>
      </c>
      <c r="BY30" s="78">
        <v>15</v>
      </c>
      <c r="BZ30" s="78">
        <v>16</v>
      </c>
      <c r="CB30" s="78">
        <v>18</v>
      </c>
    </row>
    <row r="31" spans="3:81" ht="14.1" customHeight="1">
      <c r="C31" s="114">
        <v>7</v>
      </c>
      <c r="D31" s="114">
        <v>8</v>
      </c>
      <c r="E31" s="114">
        <v>9</v>
      </c>
      <c r="G31" s="221" t="s">
        <v>45</v>
      </c>
      <c r="H31" s="221"/>
      <c r="I31" s="221"/>
      <c r="J31" s="221"/>
      <c r="K31" s="221"/>
      <c r="L31" s="221"/>
      <c r="N31" s="115">
        <v>4</v>
      </c>
      <c r="O31" s="115">
        <v>8</v>
      </c>
      <c r="Q31" s="115">
        <v>4</v>
      </c>
      <c r="R31" s="115">
        <v>8</v>
      </c>
      <c r="S31" s="21"/>
      <c r="T31" s="58">
        <v>4</v>
      </c>
      <c r="U31" s="58">
        <v>8</v>
      </c>
      <c r="W31" s="58">
        <v>4</v>
      </c>
      <c r="X31" s="58">
        <v>8</v>
      </c>
      <c r="AC31" s="58">
        <v>4</v>
      </c>
      <c r="AD31" s="58">
        <v>8</v>
      </c>
      <c r="AE31" s="21"/>
      <c r="AF31" s="58">
        <v>4</v>
      </c>
      <c r="AG31" s="58">
        <v>8</v>
      </c>
      <c r="AH31" s="21"/>
      <c r="AI31" s="21"/>
      <c r="AJ31" s="58">
        <v>4</v>
      </c>
      <c r="AK31" s="58">
        <v>8</v>
      </c>
      <c r="AL31" s="21"/>
      <c r="AM31" s="21"/>
      <c r="AN31" s="116">
        <v>4</v>
      </c>
      <c r="AO31" s="116">
        <v>8</v>
      </c>
      <c r="AP31" s="21"/>
      <c r="AQ31" s="21"/>
      <c r="AR31" s="116">
        <v>4</v>
      </c>
      <c r="AS31" s="116">
        <v>8</v>
      </c>
      <c r="AT31" s="21"/>
      <c r="AU31" s="21"/>
      <c r="AV31" s="116">
        <v>4</v>
      </c>
      <c r="AW31" s="116">
        <v>8</v>
      </c>
      <c r="AX31" s="21"/>
      <c r="AY31" s="21"/>
      <c r="AZ31" s="116">
        <v>4</v>
      </c>
      <c r="BA31" s="116">
        <v>8</v>
      </c>
      <c r="BF31" s="193"/>
      <c r="BG31" s="193"/>
      <c r="BH31" s="193"/>
      <c r="BI31" s="193"/>
      <c r="BJ31" s="193"/>
      <c r="BK31" s="193"/>
      <c r="BL31" s="193"/>
      <c r="BM31" s="193"/>
      <c r="BN31" s="3"/>
      <c r="BP31" s="8"/>
      <c r="CB31" s="9"/>
    </row>
    <row r="32" spans="3:81">
      <c r="C32" s="114">
        <v>12</v>
      </c>
      <c r="D32" s="114">
        <v>11</v>
      </c>
      <c r="E32" s="114">
        <v>10</v>
      </c>
      <c r="I32" s="206">
        <v>11046</v>
      </c>
      <c r="J32" s="206"/>
      <c r="N32" s="187">
        <v>11042</v>
      </c>
      <c r="O32" s="187"/>
      <c r="P32" s="24"/>
      <c r="Q32" s="187">
        <v>11040</v>
      </c>
      <c r="R32" s="187"/>
      <c r="S32" s="24"/>
      <c r="T32" s="187">
        <v>11037</v>
      </c>
      <c r="U32" s="187"/>
      <c r="V32" s="24"/>
      <c r="W32" s="187">
        <v>11036</v>
      </c>
      <c r="X32" s="187"/>
      <c r="Y32" s="24"/>
      <c r="Z32" s="24"/>
      <c r="AA32" s="24"/>
      <c r="AB32" s="24"/>
      <c r="AC32" s="187">
        <v>11034</v>
      </c>
      <c r="AD32" s="187"/>
      <c r="AE32" s="24"/>
      <c r="AF32" s="187">
        <v>11033</v>
      </c>
      <c r="AG32" s="187"/>
      <c r="AH32" s="24"/>
      <c r="AI32" s="24"/>
      <c r="AJ32" s="187">
        <v>11029</v>
      </c>
      <c r="AK32" s="187"/>
      <c r="AL32" s="24"/>
      <c r="AM32" s="24"/>
      <c r="AN32" s="187">
        <v>11028</v>
      </c>
      <c r="AO32" s="187"/>
      <c r="AP32" s="24"/>
      <c r="AQ32" s="24"/>
      <c r="AR32" s="187">
        <v>11026</v>
      </c>
      <c r="AS32" s="187"/>
      <c r="AT32" s="24"/>
      <c r="AU32" s="24"/>
      <c r="AV32" s="187">
        <v>11024</v>
      </c>
      <c r="AW32" s="187"/>
      <c r="AX32" s="24"/>
      <c r="AY32" s="24"/>
      <c r="AZ32" s="187">
        <v>11021</v>
      </c>
      <c r="BA32" s="187"/>
      <c r="BF32" s="196" t="s">
        <v>46</v>
      </c>
      <c r="BG32" s="197"/>
      <c r="BH32" s="197"/>
      <c r="BI32" s="198"/>
      <c r="BJ32" s="196" t="s">
        <v>47</v>
      </c>
      <c r="BK32" s="197"/>
      <c r="BL32" s="197"/>
      <c r="BM32" s="198"/>
      <c r="BN32" s="3"/>
      <c r="BP32" s="8"/>
      <c r="BQ32" s="204" t="s">
        <v>48</v>
      </c>
      <c r="BR32" s="204"/>
      <c r="BS32" s="204"/>
      <c r="BT32" s="204"/>
      <c r="BU32" s="204"/>
      <c r="BV32" s="204"/>
      <c r="BW32" s="204"/>
      <c r="BX32" s="204"/>
      <c r="BY32" s="204"/>
      <c r="BZ32" s="204"/>
      <c r="CA32" s="204"/>
      <c r="CB32" s="9"/>
    </row>
    <row r="33" spans="3:80" ht="14.45" customHeight="1">
      <c r="C33" s="205">
        <v>11049</v>
      </c>
      <c r="D33" s="205"/>
      <c r="E33" s="205"/>
      <c r="G33" s="194">
        <v>7</v>
      </c>
      <c r="H33" s="195"/>
      <c r="I33" s="194">
        <v>8</v>
      </c>
      <c r="J33" s="195"/>
      <c r="K33" s="144">
        <v>9</v>
      </c>
      <c r="L33" s="144"/>
      <c r="X33" s="204" t="s">
        <v>49</v>
      </c>
      <c r="Y33" s="204"/>
      <c r="Z33" s="204"/>
      <c r="AA33" s="204"/>
      <c r="AB33" s="204"/>
      <c r="AC33" s="204"/>
      <c r="AD33" s="204"/>
      <c r="BF33" s="199"/>
      <c r="BG33" s="168"/>
      <c r="BH33" s="168"/>
      <c r="BI33" s="200"/>
      <c r="BJ33" s="199"/>
      <c r="BK33" s="168"/>
      <c r="BL33" s="168"/>
      <c r="BM33" s="200"/>
      <c r="BN33" s="3"/>
      <c r="BP33" s="8"/>
      <c r="BQ33" s="78">
        <v>19</v>
      </c>
      <c r="BR33" s="78">
        <v>23</v>
      </c>
      <c r="BT33" s="78">
        <v>27</v>
      </c>
      <c r="BU33" s="78">
        <v>31</v>
      </c>
      <c r="BW33" s="78">
        <v>35</v>
      </c>
      <c r="BX33" s="78">
        <v>39</v>
      </c>
      <c r="BZ33" s="78">
        <v>43</v>
      </c>
      <c r="CA33" s="78">
        <v>47</v>
      </c>
      <c r="CB33" s="9"/>
    </row>
    <row r="34" spans="3:80">
      <c r="C34" s="114">
        <v>15</v>
      </c>
      <c r="D34" s="114">
        <v>14</v>
      </c>
      <c r="E34" s="114">
        <v>13</v>
      </c>
      <c r="G34" s="194">
        <v>6</v>
      </c>
      <c r="H34" s="195"/>
      <c r="I34" s="194">
        <v>5</v>
      </c>
      <c r="J34" s="195"/>
      <c r="K34" s="144">
        <v>4</v>
      </c>
      <c r="L34" s="144"/>
      <c r="N34" s="115">
        <v>1</v>
      </c>
      <c r="O34" s="115">
        <v>2</v>
      </c>
      <c r="P34" s="115">
        <v>3</v>
      </c>
      <c r="Q34" s="115">
        <v>4</v>
      </c>
      <c r="S34" s="113">
        <v>1</v>
      </c>
      <c r="T34" s="113">
        <v>2</v>
      </c>
      <c r="U34" s="113">
        <v>3</v>
      </c>
      <c r="V34" s="113">
        <v>4</v>
      </c>
      <c r="X34" s="58">
        <v>1</v>
      </c>
      <c r="Y34" s="58">
        <v>2</v>
      </c>
      <c r="Z34" s="58">
        <v>3</v>
      </c>
      <c r="AA34" s="58">
        <v>4</v>
      </c>
      <c r="AD34" s="58">
        <v>1</v>
      </c>
      <c r="AE34" s="58">
        <v>2</v>
      </c>
      <c r="AF34" s="58">
        <v>3</v>
      </c>
      <c r="AG34" s="58">
        <v>4</v>
      </c>
      <c r="AH34" s="21"/>
      <c r="AI34" s="117">
        <v>1</v>
      </c>
      <c r="AJ34" s="117">
        <v>2</v>
      </c>
      <c r="AK34" s="117">
        <v>3</v>
      </c>
      <c r="AL34" s="117">
        <v>4</v>
      </c>
      <c r="AM34" s="21"/>
      <c r="AN34" s="117">
        <v>1</v>
      </c>
      <c r="AO34" s="117">
        <v>2</v>
      </c>
      <c r="AP34" s="117">
        <v>3</v>
      </c>
      <c r="AQ34" s="117">
        <v>4</v>
      </c>
      <c r="AR34" s="21"/>
      <c r="AS34" s="117">
        <v>1</v>
      </c>
      <c r="AT34" s="117">
        <v>2</v>
      </c>
      <c r="AU34" s="117">
        <v>3</v>
      </c>
      <c r="AV34" s="117">
        <v>4</v>
      </c>
      <c r="AW34" s="21"/>
      <c r="AX34" s="116">
        <v>1</v>
      </c>
      <c r="AY34" s="116">
        <v>2</v>
      </c>
      <c r="AZ34" s="116">
        <v>3</v>
      </c>
      <c r="BA34" s="116">
        <v>4</v>
      </c>
      <c r="BF34" s="199"/>
      <c r="BG34" s="168"/>
      <c r="BH34" s="168"/>
      <c r="BI34" s="200"/>
      <c r="BJ34" s="199"/>
      <c r="BK34" s="168"/>
      <c r="BL34" s="168"/>
      <c r="BM34" s="200"/>
      <c r="BN34" s="3"/>
      <c r="BP34" s="8"/>
      <c r="BQ34" s="78">
        <v>20</v>
      </c>
      <c r="BR34" s="78">
        <v>24</v>
      </c>
      <c r="BT34" s="78">
        <v>28</v>
      </c>
      <c r="BU34" s="78">
        <v>32</v>
      </c>
      <c r="BW34" s="78">
        <v>36</v>
      </c>
      <c r="BX34" s="78">
        <v>40</v>
      </c>
      <c r="BZ34" s="78">
        <v>44</v>
      </c>
      <c r="CA34" s="78">
        <v>48</v>
      </c>
      <c r="CB34" s="9"/>
    </row>
    <row r="35" spans="3:80">
      <c r="C35" s="193" t="s">
        <v>91</v>
      </c>
      <c r="D35" s="193"/>
      <c r="E35" s="193"/>
      <c r="G35" s="194">
        <v>1</v>
      </c>
      <c r="H35" s="195"/>
      <c r="I35" s="194">
        <v>2</v>
      </c>
      <c r="J35" s="195"/>
      <c r="K35" s="144">
        <v>3</v>
      </c>
      <c r="L35" s="144"/>
      <c r="N35" s="115">
        <v>8</v>
      </c>
      <c r="O35" s="115">
        <v>7</v>
      </c>
      <c r="P35" s="115">
        <v>6</v>
      </c>
      <c r="Q35" s="115">
        <v>5</v>
      </c>
      <c r="S35" s="113">
        <v>8</v>
      </c>
      <c r="T35" s="113">
        <v>7</v>
      </c>
      <c r="U35" s="113">
        <v>6</v>
      </c>
      <c r="V35" s="113">
        <v>5</v>
      </c>
      <c r="X35" s="58">
        <v>8</v>
      </c>
      <c r="Y35" s="58">
        <v>7</v>
      </c>
      <c r="Z35" s="58">
        <v>6</v>
      </c>
      <c r="AA35" s="58">
        <v>5</v>
      </c>
      <c r="AD35" s="58">
        <v>8</v>
      </c>
      <c r="AE35" s="58">
        <v>7</v>
      </c>
      <c r="AF35" s="58">
        <v>6</v>
      </c>
      <c r="AG35" s="58">
        <v>5</v>
      </c>
      <c r="AH35" s="21"/>
      <c r="AI35" s="117">
        <v>8</v>
      </c>
      <c r="AJ35" s="117">
        <v>7</v>
      </c>
      <c r="AK35" s="117">
        <v>6</v>
      </c>
      <c r="AL35" s="117">
        <v>5</v>
      </c>
      <c r="AM35" s="21"/>
      <c r="AN35" s="117">
        <v>8</v>
      </c>
      <c r="AO35" s="117">
        <v>7</v>
      </c>
      <c r="AP35" s="117">
        <v>6</v>
      </c>
      <c r="AQ35" s="117">
        <v>5</v>
      </c>
      <c r="AR35" s="21"/>
      <c r="AS35" s="117">
        <v>8</v>
      </c>
      <c r="AT35" s="117">
        <v>7</v>
      </c>
      <c r="AU35" s="117">
        <v>6</v>
      </c>
      <c r="AV35" s="117">
        <v>5</v>
      </c>
      <c r="AW35" s="21"/>
      <c r="AX35" s="116">
        <v>8</v>
      </c>
      <c r="AY35" s="116">
        <v>7</v>
      </c>
      <c r="AZ35" s="116">
        <v>6</v>
      </c>
      <c r="BA35" s="116">
        <v>5</v>
      </c>
      <c r="BF35" s="201"/>
      <c r="BG35" s="202"/>
      <c r="BH35" s="202"/>
      <c r="BI35" s="203"/>
      <c r="BJ35" s="201"/>
      <c r="BK35" s="202"/>
      <c r="BL35" s="202"/>
      <c r="BM35" s="203"/>
      <c r="BP35" s="8"/>
      <c r="BQ35" s="78">
        <v>21</v>
      </c>
      <c r="BR35" s="78">
        <v>25</v>
      </c>
      <c r="BT35" s="78">
        <v>29</v>
      </c>
      <c r="BU35" s="78">
        <v>33</v>
      </c>
      <c r="BW35" s="78">
        <v>37</v>
      </c>
      <c r="BX35" s="78">
        <v>41</v>
      </c>
      <c r="BZ35" s="78">
        <v>45</v>
      </c>
      <c r="CA35" s="78">
        <v>49</v>
      </c>
      <c r="CB35" s="9"/>
    </row>
    <row r="36" spans="3:80">
      <c r="C36" s="193"/>
      <c r="D36" s="193"/>
      <c r="E36" s="193"/>
      <c r="M36" s="24"/>
      <c r="N36" s="187">
        <v>11041</v>
      </c>
      <c r="O36" s="187"/>
      <c r="P36" s="187"/>
      <c r="Q36" s="187"/>
      <c r="R36" s="24"/>
      <c r="S36" s="187">
        <v>11038</v>
      </c>
      <c r="T36" s="187"/>
      <c r="U36" s="187"/>
      <c r="V36" s="187"/>
      <c r="W36" s="24"/>
      <c r="X36" s="187">
        <v>11035</v>
      </c>
      <c r="Y36" s="187"/>
      <c r="Z36" s="187"/>
      <c r="AA36" s="187"/>
      <c r="AB36" s="24"/>
      <c r="AC36" s="24"/>
      <c r="AD36" s="187">
        <v>11033</v>
      </c>
      <c r="AE36" s="187"/>
      <c r="AF36" s="187"/>
      <c r="AG36" s="187"/>
      <c r="AH36" s="24"/>
      <c r="AI36" s="187">
        <v>11030</v>
      </c>
      <c r="AJ36" s="187"/>
      <c r="AK36" s="187"/>
      <c r="AL36" s="187"/>
      <c r="AM36" s="24"/>
      <c r="AN36" s="187">
        <v>11027</v>
      </c>
      <c r="AO36" s="187"/>
      <c r="AP36" s="187"/>
      <c r="AQ36" s="187"/>
      <c r="AR36" s="24"/>
      <c r="AS36" s="187">
        <v>11025</v>
      </c>
      <c r="AT36" s="187"/>
      <c r="AU36" s="187"/>
      <c r="AV36" s="187"/>
      <c r="AW36" s="24"/>
      <c r="AX36" s="187">
        <v>11022</v>
      </c>
      <c r="AY36" s="187"/>
      <c r="AZ36" s="187"/>
      <c r="BA36" s="187"/>
      <c r="BP36" s="4"/>
      <c r="BQ36" s="78">
        <v>22</v>
      </c>
      <c r="BR36" s="78">
        <v>26</v>
      </c>
      <c r="BT36" s="78">
        <v>30</v>
      </c>
      <c r="BU36" s="78">
        <v>34</v>
      </c>
      <c r="BW36" s="78">
        <v>38</v>
      </c>
      <c r="BX36" s="78">
        <v>42</v>
      </c>
      <c r="BZ36" s="78">
        <v>46</v>
      </c>
      <c r="CA36" s="78">
        <v>50</v>
      </c>
      <c r="CB36" s="9"/>
    </row>
    <row r="37" spans="3:80">
      <c r="C37" s="193"/>
      <c r="D37" s="193"/>
      <c r="E37" s="193"/>
      <c r="G37" s="188" t="s">
        <v>51</v>
      </c>
      <c r="H37" s="188"/>
      <c r="I37" s="188"/>
      <c r="J37" s="188"/>
      <c r="K37" s="188"/>
      <c r="L37" s="188"/>
      <c r="Q37" s="188" t="s">
        <v>52</v>
      </c>
      <c r="R37" s="188"/>
      <c r="S37" s="188"/>
      <c r="T37" s="188"/>
      <c r="U37" s="188"/>
      <c r="V37" s="188"/>
      <c r="W37" s="188"/>
      <c r="X37" s="188"/>
      <c r="AC37" s="188" t="s">
        <v>53</v>
      </c>
      <c r="AD37" s="188"/>
      <c r="AE37" s="188"/>
      <c r="AF37" s="188"/>
      <c r="AG37" s="188"/>
      <c r="AH37" s="188"/>
      <c r="AI37" s="188"/>
      <c r="AJ37" s="188"/>
      <c r="AQ37" s="188" t="s">
        <v>54</v>
      </c>
      <c r="AR37" s="188"/>
      <c r="AS37" s="188"/>
      <c r="AT37" s="188"/>
      <c r="AU37" s="188"/>
      <c r="AV37" s="188"/>
      <c r="AW37" s="188"/>
      <c r="AX37" s="188"/>
      <c r="BE37" s="25"/>
      <c r="BG37" s="25" t="s">
        <v>55</v>
      </c>
      <c r="BP37" s="4"/>
      <c r="CB37" s="9"/>
    </row>
    <row r="38" spans="3:80">
      <c r="C38" s="193"/>
      <c r="D38" s="193"/>
      <c r="E38" s="193"/>
      <c r="G38" s="110">
        <v>1</v>
      </c>
      <c r="H38" s="110">
        <v>2</v>
      </c>
      <c r="I38" s="110">
        <v>3</v>
      </c>
      <c r="J38" s="110">
        <v>4</v>
      </c>
      <c r="K38" s="110">
        <v>5</v>
      </c>
      <c r="L38" s="110">
        <v>6</v>
      </c>
      <c r="Q38" s="118">
        <v>1</v>
      </c>
      <c r="R38" s="118">
        <v>2</v>
      </c>
      <c r="S38" s="118">
        <v>3</v>
      </c>
      <c r="T38" s="118">
        <v>4</v>
      </c>
      <c r="U38" s="118">
        <v>5</v>
      </c>
      <c r="V38" s="118">
        <v>6</v>
      </c>
      <c r="W38" s="118">
        <v>7</v>
      </c>
      <c r="X38" s="118">
        <v>8</v>
      </c>
      <c r="AC38" s="58">
        <v>1</v>
      </c>
      <c r="AD38" s="58">
        <v>2</v>
      </c>
      <c r="AE38" s="58">
        <v>3</v>
      </c>
      <c r="AF38" s="58">
        <v>4</v>
      </c>
      <c r="AG38" s="58">
        <v>5</v>
      </c>
      <c r="AH38" s="58">
        <v>6</v>
      </c>
      <c r="AI38" s="58">
        <v>7</v>
      </c>
      <c r="AJ38" s="58">
        <v>8</v>
      </c>
      <c r="AK38" s="21"/>
      <c r="AL38" s="21"/>
      <c r="AM38" s="21"/>
      <c r="AN38" s="21"/>
      <c r="AO38" s="21"/>
      <c r="AP38" s="21"/>
      <c r="AQ38" s="117">
        <v>1</v>
      </c>
      <c r="AR38" s="117">
        <v>2</v>
      </c>
      <c r="AS38" s="117">
        <v>3</v>
      </c>
      <c r="AT38" s="117">
        <v>4</v>
      </c>
      <c r="AU38" s="117">
        <v>5</v>
      </c>
      <c r="AV38" s="117">
        <v>6</v>
      </c>
      <c r="AW38" s="117">
        <v>7</v>
      </c>
      <c r="AX38" s="117">
        <v>8</v>
      </c>
      <c r="AY38" s="21"/>
      <c r="AZ38" s="21"/>
      <c r="BA38" s="21"/>
      <c r="BB38" s="21"/>
      <c r="BC38" s="21"/>
      <c r="BD38" s="116">
        <v>1</v>
      </c>
      <c r="BE38" s="116">
        <v>2</v>
      </c>
      <c r="BF38" s="116">
        <v>3</v>
      </c>
      <c r="BG38" s="116">
        <v>4</v>
      </c>
      <c r="BH38" s="116">
        <v>5</v>
      </c>
      <c r="BI38" s="116">
        <v>6</v>
      </c>
      <c r="BJ38" s="116">
        <v>7</v>
      </c>
      <c r="BK38" s="116">
        <v>8</v>
      </c>
      <c r="BP38" s="4"/>
      <c r="BR38" s="78">
        <v>51</v>
      </c>
      <c r="BS38" s="78">
        <v>52</v>
      </c>
      <c r="BT38" s="78">
        <v>53</v>
      </c>
      <c r="BU38" s="78">
        <v>54</v>
      </c>
      <c r="BV38" s="78">
        <v>55</v>
      </c>
      <c r="BW38" s="78">
        <v>56</v>
      </c>
      <c r="BX38" s="78">
        <v>57</v>
      </c>
      <c r="BY38" s="78">
        <v>58</v>
      </c>
      <c r="CB38" s="9"/>
    </row>
    <row r="39" spans="3:80">
      <c r="C39" s="111"/>
      <c r="G39" s="187">
        <v>11047</v>
      </c>
      <c r="H39" s="187"/>
      <c r="I39" s="187"/>
      <c r="J39" s="187"/>
      <c r="K39" s="187"/>
      <c r="L39" s="187"/>
      <c r="Q39" s="187">
        <v>11039</v>
      </c>
      <c r="R39" s="187"/>
      <c r="S39" s="187"/>
      <c r="T39" s="187"/>
      <c r="U39" s="187"/>
      <c r="V39" s="187"/>
      <c r="W39" s="187"/>
      <c r="X39" s="187"/>
      <c r="AC39" s="187">
        <v>11031</v>
      </c>
      <c r="AD39" s="187"/>
      <c r="AE39" s="187"/>
      <c r="AF39" s="187"/>
      <c r="AG39" s="187"/>
      <c r="AH39" s="187"/>
      <c r="AI39" s="187"/>
      <c r="AJ39" s="187"/>
      <c r="AQ39" s="187">
        <v>11023</v>
      </c>
      <c r="AR39" s="187"/>
      <c r="AS39" s="187"/>
      <c r="AT39" s="187"/>
      <c r="AU39" s="187"/>
      <c r="AV39" s="187"/>
      <c r="AW39" s="187"/>
      <c r="AX39" s="187"/>
      <c r="BD39" s="187">
        <v>11021</v>
      </c>
      <c r="BE39" s="187"/>
      <c r="BF39" s="187"/>
      <c r="BG39" s="187"/>
      <c r="BH39" s="187"/>
      <c r="BI39" s="187"/>
      <c r="BJ39" s="187"/>
      <c r="BK39" s="187"/>
      <c r="BP39" s="12"/>
      <c r="BQ39" s="15"/>
      <c r="BR39" s="188" t="s">
        <v>57</v>
      </c>
      <c r="BS39" s="188"/>
      <c r="BT39" s="188"/>
      <c r="BU39" s="188"/>
      <c r="BV39" s="188"/>
      <c r="BW39" s="188"/>
      <c r="BX39" s="188"/>
      <c r="BY39" s="188"/>
      <c r="BZ39" s="15"/>
      <c r="CA39" s="15"/>
      <c r="CB39" s="17"/>
    </row>
    <row r="40" spans="3:80">
      <c r="BF40" s="24"/>
      <c r="BG40" s="24"/>
      <c r="BH40" s="24"/>
      <c r="BI40" s="24"/>
      <c r="BJ40" s="24"/>
      <c r="BK40" s="24"/>
    </row>
    <row r="41" spans="3:80">
      <c r="BF41" s="24"/>
      <c r="BG41" s="24"/>
      <c r="BH41" s="24"/>
      <c r="BI41" s="24"/>
      <c r="BJ41" s="24"/>
      <c r="BK41" s="24"/>
    </row>
    <row r="42" spans="3:80">
      <c r="C42" s="71" t="s">
        <v>58</v>
      </c>
      <c r="BF42" s="24"/>
      <c r="BG42" s="24"/>
      <c r="BH42" s="24"/>
      <c r="BI42" s="24"/>
      <c r="BJ42" s="24"/>
      <c r="BK42" s="24"/>
    </row>
    <row r="43" spans="3:80" ht="18.75">
      <c r="C43" s="189" t="s">
        <v>59</v>
      </c>
      <c r="D43" s="189"/>
      <c r="E43" s="189"/>
      <c r="F43" s="55"/>
      <c r="K43" s="79"/>
      <c r="BF43" s="24"/>
      <c r="BG43" s="24"/>
      <c r="BH43" s="24"/>
      <c r="BI43" s="24"/>
      <c r="BJ43" s="24"/>
      <c r="BK43" s="24"/>
    </row>
    <row r="44" spans="3:80" ht="18.75">
      <c r="C44" s="190" t="s">
        <v>92</v>
      </c>
      <c r="D44" s="190"/>
      <c r="E44" s="190"/>
      <c r="BF44" s="24"/>
      <c r="BG44" s="24"/>
      <c r="BH44" s="24"/>
      <c r="BI44" s="24"/>
      <c r="BJ44" s="24"/>
      <c r="BK44" s="24"/>
    </row>
    <row r="45" spans="3:80" ht="18.75">
      <c r="C45" s="191" t="s">
        <v>61</v>
      </c>
      <c r="D45" s="191"/>
      <c r="E45" s="191"/>
      <c r="F45" s="55"/>
      <c r="BF45" s="24"/>
      <c r="BG45" s="24"/>
      <c r="BH45" s="24"/>
      <c r="BI45" s="24"/>
      <c r="BJ45" s="24"/>
      <c r="BK45" s="24"/>
    </row>
    <row r="46" spans="3:80" ht="18.75">
      <c r="C46" s="192" t="s">
        <v>62</v>
      </c>
      <c r="D46" s="192"/>
      <c r="E46" s="192"/>
      <c r="F46" s="55"/>
      <c r="BF46" s="24"/>
      <c r="BG46" s="24"/>
      <c r="BH46" s="24"/>
      <c r="BI46" s="24"/>
      <c r="BJ46" s="24"/>
      <c r="BK46" s="24"/>
    </row>
    <row r="47" spans="3:80" ht="18.75">
      <c r="C47" s="180" t="s">
        <v>63</v>
      </c>
      <c r="D47" s="180"/>
      <c r="E47" s="180"/>
      <c r="BF47" s="24"/>
      <c r="BG47" s="24"/>
      <c r="BH47" s="24"/>
      <c r="BI47" s="24"/>
      <c r="BJ47" s="24"/>
      <c r="BK47" s="24"/>
    </row>
    <row r="48" spans="3:80" ht="18.75">
      <c r="C48" s="181" t="s">
        <v>64</v>
      </c>
      <c r="D48" s="182"/>
      <c r="E48" s="182"/>
      <c r="F48" s="55"/>
      <c r="BF48" s="24"/>
      <c r="BG48" s="24"/>
      <c r="BH48" s="24"/>
      <c r="BI48" s="24"/>
      <c r="BJ48" s="24"/>
      <c r="BK48" s="24"/>
    </row>
    <row r="49" spans="3:63" ht="18.75">
      <c r="C49" s="183" t="s">
        <v>65</v>
      </c>
      <c r="D49" s="183"/>
      <c r="E49" s="183"/>
      <c r="BF49" s="24"/>
      <c r="BG49" s="24"/>
      <c r="BH49" s="24"/>
      <c r="BI49" s="24"/>
      <c r="BJ49" s="24"/>
      <c r="BK49" s="24"/>
    </row>
    <row r="50" spans="3:63" ht="18.75">
      <c r="C50" s="184" t="s">
        <v>93</v>
      </c>
      <c r="D50" s="185"/>
      <c r="E50" s="185"/>
      <c r="F50" s="79"/>
      <c r="BF50" s="24"/>
      <c r="BG50" s="24"/>
      <c r="BH50" s="24"/>
      <c r="BI50" s="24"/>
      <c r="BJ50" s="24"/>
      <c r="BK50" s="24"/>
    </row>
    <row r="51" spans="3:63" ht="18.75">
      <c r="C51" s="150" t="s">
        <v>94</v>
      </c>
      <c r="D51" s="151"/>
      <c r="E51" s="151"/>
      <c r="F51" s="79"/>
      <c r="BF51" s="24"/>
      <c r="BG51" s="24"/>
      <c r="BH51" s="24"/>
      <c r="BI51" s="24"/>
      <c r="BJ51" s="24"/>
      <c r="BK51" s="24"/>
    </row>
    <row r="52" spans="3:63" ht="18" customHeight="1">
      <c r="C52" s="186" t="s">
        <v>95</v>
      </c>
      <c r="D52" s="186"/>
      <c r="E52" s="186"/>
      <c r="F52" s="158" t="s">
        <v>81</v>
      </c>
      <c r="G52" s="158"/>
      <c r="H52" s="158"/>
      <c r="I52" s="158"/>
      <c r="J52" s="158"/>
      <c r="K52" s="158"/>
      <c r="L52" s="158"/>
      <c r="M52" s="158"/>
      <c r="N52" s="158"/>
      <c r="S52" s="119"/>
      <c r="T52" s="119"/>
      <c r="U52" s="119"/>
      <c r="V52" s="119"/>
      <c r="W52" s="119"/>
      <c r="X52" s="119"/>
      <c r="Y52" s="119"/>
      <c r="Z52" s="3"/>
      <c r="AA52" s="3"/>
      <c r="AB52" s="3"/>
      <c r="AC52" s="3"/>
      <c r="AD52" s="100"/>
      <c r="AF52" s="3"/>
      <c r="AH52" s="3"/>
      <c r="AK52" s="168"/>
      <c r="AL52" s="168"/>
      <c r="BF52" s="24"/>
      <c r="BG52" s="24"/>
      <c r="BH52" s="24"/>
      <c r="BI52" s="24"/>
      <c r="BJ52" s="24"/>
      <c r="BK52" s="24"/>
    </row>
    <row r="53" spans="3:63">
      <c r="F53" s="158"/>
      <c r="G53" s="158"/>
      <c r="H53" s="158"/>
      <c r="I53" s="158"/>
      <c r="J53" s="158"/>
      <c r="K53" s="158"/>
      <c r="L53" s="158"/>
      <c r="M53" s="158"/>
      <c r="N53" s="158"/>
      <c r="R53" s="119"/>
      <c r="S53" s="119"/>
      <c r="T53" s="119"/>
      <c r="U53" s="119"/>
      <c r="V53" s="119"/>
      <c r="W53" s="119"/>
      <c r="X53" s="119"/>
      <c r="Y53" s="119"/>
    </row>
    <row r="55" spans="3:63" ht="174" hidden="1" customHeight="1">
      <c r="C55" s="93" t="s">
        <v>69</v>
      </c>
      <c r="D55" s="94"/>
      <c r="E55" s="94"/>
      <c r="F55" s="95">
        <v>241</v>
      </c>
      <c r="G55" s="169" t="s">
        <v>70</v>
      </c>
      <c r="H55" s="170"/>
      <c r="I55" s="170"/>
      <c r="J55" s="171"/>
      <c r="K55" s="172">
        <v>0.5</v>
      </c>
      <c r="L55" s="171"/>
      <c r="M55" s="90" t="s">
        <v>71</v>
      </c>
      <c r="N55" s="90" t="s">
        <v>72</v>
      </c>
    </row>
    <row r="56" spans="3:63" ht="29.25" hidden="1" customHeight="1">
      <c r="C56" s="173" t="s">
        <v>73</v>
      </c>
      <c r="D56" s="174"/>
      <c r="E56" s="174"/>
      <c r="F56" s="95">
        <v>366</v>
      </c>
      <c r="G56" s="175">
        <f>SUM(G57:J66)</f>
        <v>500</v>
      </c>
      <c r="H56" s="176"/>
      <c r="I56" s="176"/>
      <c r="J56" s="177"/>
      <c r="K56" s="178">
        <f>SUM(K57:L66)</f>
        <v>250</v>
      </c>
      <c r="L56" s="179"/>
      <c r="M56" s="91"/>
      <c r="N56" s="91"/>
    </row>
    <row r="57" spans="3:63" hidden="1">
      <c r="C57" s="74" t="s">
        <v>96</v>
      </c>
      <c r="D57" s="82"/>
      <c r="E57" s="83"/>
      <c r="F57" s="83">
        <v>22</v>
      </c>
      <c r="G57" s="160">
        <v>49</v>
      </c>
      <c r="H57" s="161"/>
      <c r="I57" s="161"/>
      <c r="J57" s="162"/>
      <c r="K57" s="161">
        <f>G57/2</f>
        <v>24.5</v>
      </c>
      <c r="L57" s="162"/>
      <c r="M57" s="35">
        <f>G57</f>
        <v>49</v>
      </c>
      <c r="N57" s="35" cm="1">
        <f t="array" ref="N57:N58">F57:F58-K57</f>
        <v>-2.5</v>
      </c>
      <c r="O57" s="1">
        <v>10</v>
      </c>
    </row>
    <row r="58" spans="3:63" hidden="1">
      <c r="C58" s="74" t="s">
        <v>97</v>
      </c>
      <c r="D58" s="82"/>
      <c r="E58" s="83"/>
      <c r="F58" s="83">
        <v>22</v>
      </c>
      <c r="G58" s="160"/>
      <c r="H58" s="161"/>
      <c r="I58" s="161"/>
      <c r="J58" s="162"/>
      <c r="L58" s="35"/>
      <c r="M58" s="35"/>
      <c r="N58" s="35">
        <v>-2.5</v>
      </c>
      <c r="O58" s="1">
        <v>10</v>
      </c>
      <c r="AS58" s="107"/>
    </row>
    <row r="59" spans="3:63" hidden="1">
      <c r="C59" s="133" t="s">
        <v>76</v>
      </c>
      <c r="D59" s="134"/>
      <c r="E59" s="135"/>
      <c r="F59" s="135">
        <v>23</v>
      </c>
      <c r="G59" s="165"/>
      <c r="H59" s="166"/>
      <c r="I59" s="166"/>
      <c r="J59" s="167"/>
      <c r="K59" s="135"/>
      <c r="L59" s="136"/>
      <c r="M59" s="136"/>
      <c r="N59" s="136"/>
      <c r="O59" s="1">
        <v>0</v>
      </c>
    </row>
    <row r="60" spans="3:63" hidden="1">
      <c r="C60" s="120" t="s">
        <v>98</v>
      </c>
      <c r="D60" s="121"/>
      <c r="E60" s="122"/>
      <c r="F60" s="122">
        <v>58</v>
      </c>
      <c r="G60" s="160">
        <v>68</v>
      </c>
      <c r="H60" s="161"/>
      <c r="I60" s="161"/>
      <c r="J60" s="162"/>
      <c r="K60" s="161">
        <f>G60/2</f>
        <v>34</v>
      </c>
      <c r="L60" s="162"/>
      <c r="M60" s="35">
        <f>G60</f>
        <v>68</v>
      </c>
      <c r="N60" s="35">
        <f>F60-K60</f>
        <v>24</v>
      </c>
      <c r="O60" s="1">
        <v>0</v>
      </c>
    </row>
    <row r="61" spans="3:63" hidden="1">
      <c r="C61" s="123" t="s">
        <v>59</v>
      </c>
      <c r="D61" s="124"/>
      <c r="E61" s="124"/>
      <c r="F61" s="124">
        <f>COUNTA(AN34:AQ35,AS34:AV35,AQ38:AX38,AI34:AL35)</f>
        <v>32</v>
      </c>
      <c r="G61" s="160">
        <v>90</v>
      </c>
      <c r="H61" s="161"/>
      <c r="I61" s="161"/>
      <c r="J61" s="162"/>
      <c r="K61" s="161">
        <f>G61/2</f>
        <v>45</v>
      </c>
      <c r="L61" s="162"/>
      <c r="M61" s="35">
        <f>G61</f>
        <v>90</v>
      </c>
      <c r="N61" s="35">
        <f>F61-K61</f>
        <v>-13</v>
      </c>
      <c r="Z61" s="33"/>
    </row>
    <row r="62" spans="3:63" hidden="1">
      <c r="C62" s="42" t="s">
        <v>78</v>
      </c>
      <c r="D62" s="43"/>
      <c r="E62" s="43"/>
      <c r="F62" s="43">
        <f>COUNTA(T28:U31,W28:X31,AC28:AD31,AF28:AG31,AJ28:AK31,AN28:AO31,AD34:AG35,AC38:AJ38,X34:AA35,Q38:X38)</f>
        <v>80</v>
      </c>
      <c r="G62" s="160">
        <v>150</v>
      </c>
      <c r="H62" s="161"/>
      <c r="I62" s="161"/>
      <c r="J62" s="162"/>
      <c r="K62" s="161">
        <f>G62/2</f>
        <v>75</v>
      </c>
      <c r="L62" s="162"/>
      <c r="M62" s="35">
        <f>G62</f>
        <v>150</v>
      </c>
      <c r="N62" s="35">
        <f>F62-K62</f>
        <v>5</v>
      </c>
    </row>
    <row r="63" spans="3:63" hidden="1">
      <c r="C63" s="125" t="s">
        <v>60</v>
      </c>
      <c r="D63" s="126"/>
      <c r="E63" s="126"/>
      <c r="F63" s="126">
        <f>COUNTA(AR28:AS31,AV28:AW31,AZ28:BA31,AX34:BA35,BD38:BK38,AS34:AV35,AN28:AO31)</f>
        <v>56</v>
      </c>
      <c r="G63" s="160">
        <v>66</v>
      </c>
      <c r="H63" s="161"/>
      <c r="I63" s="161"/>
      <c r="J63" s="162"/>
      <c r="K63" s="163">
        <f>G63/2</f>
        <v>33</v>
      </c>
      <c r="L63" s="164"/>
      <c r="M63" s="35">
        <f>G63</f>
        <v>66</v>
      </c>
      <c r="N63" s="35">
        <f t="shared" ref="N63" si="0">F63-K63</f>
        <v>23</v>
      </c>
      <c r="AB63" s="33"/>
    </row>
    <row r="64" spans="3:63" hidden="1">
      <c r="C64" s="127" t="s">
        <v>63</v>
      </c>
      <c r="D64" s="128"/>
      <c r="E64" s="128"/>
      <c r="F64" s="128">
        <f>COUNTA(N28:O31,Q28:R31,G28:L30,N34:Q35)</f>
        <v>33</v>
      </c>
      <c r="G64" s="160">
        <v>62</v>
      </c>
      <c r="H64" s="161"/>
      <c r="I64" s="161"/>
      <c r="J64" s="162"/>
      <c r="K64" s="163">
        <f>G64/2</f>
        <v>31</v>
      </c>
      <c r="L64" s="164"/>
      <c r="M64" s="35">
        <f t="shared" ref="M64" si="1">G64</f>
        <v>62</v>
      </c>
      <c r="N64" s="92">
        <f>F64-K64</f>
        <v>2</v>
      </c>
      <c r="AB64" s="33"/>
    </row>
    <row r="65" spans="3:24" hidden="1">
      <c r="C65" s="129" t="s">
        <v>62</v>
      </c>
      <c r="D65" s="130"/>
      <c r="E65" s="130"/>
      <c r="F65" s="130">
        <f>COUNTA(S34:V35)</f>
        <v>8</v>
      </c>
      <c r="G65" s="160">
        <v>11</v>
      </c>
      <c r="H65" s="161"/>
      <c r="I65" s="161"/>
      <c r="J65" s="162"/>
      <c r="K65" s="163">
        <f>G65/2</f>
        <v>5.5</v>
      </c>
      <c r="L65" s="164"/>
      <c r="M65" s="35">
        <f>G65</f>
        <v>11</v>
      </c>
      <c r="N65" s="75">
        <f>F65-K65</f>
        <v>2.5</v>
      </c>
    </row>
    <row r="66" spans="3:24" hidden="1">
      <c r="C66" s="97" t="s">
        <v>80</v>
      </c>
      <c r="D66" s="98"/>
      <c r="E66" s="98"/>
      <c r="F66" s="99">
        <f>COUNTA(G33:L35,G38:L38)</f>
        <v>15</v>
      </c>
      <c r="G66" s="145">
        <v>4</v>
      </c>
      <c r="H66" s="146"/>
      <c r="I66" s="146"/>
      <c r="J66" s="147"/>
      <c r="K66" s="148">
        <f>G66/2</f>
        <v>2</v>
      </c>
      <c r="L66" s="149"/>
      <c r="M66" s="53">
        <f>G66</f>
        <v>4</v>
      </c>
      <c r="N66" s="96">
        <f>F66-K66</f>
        <v>13</v>
      </c>
    </row>
    <row r="67" spans="3:24" hidden="1">
      <c r="C67" s="141" t="s">
        <v>94</v>
      </c>
      <c r="D67" s="142"/>
      <c r="E67" s="142"/>
      <c r="F67" s="143">
        <f>COUNTA(G14:J16)</f>
        <v>6</v>
      </c>
      <c r="G67" s="145">
        <v>3</v>
      </c>
      <c r="H67" s="146"/>
      <c r="I67" s="146"/>
      <c r="J67" s="147"/>
      <c r="K67" s="148">
        <f>G67/2</f>
        <v>1.5</v>
      </c>
      <c r="L67" s="149"/>
      <c r="M67" s="53">
        <f>G67</f>
        <v>3</v>
      </c>
      <c r="N67" s="96">
        <f>F67-K67</f>
        <v>4.5</v>
      </c>
    </row>
    <row r="68" spans="3:24" hidden="1">
      <c r="C68" s="131" t="s">
        <v>95</v>
      </c>
      <c r="D68" s="132"/>
      <c r="E68" s="132"/>
      <c r="F68" s="132">
        <f>COUNTA(G18:J20,G22:J24,C28:E29,C31:E32,C34:E34)</f>
        <v>27</v>
      </c>
      <c r="G68" s="152">
        <v>15</v>
      </c>
      <c r="H68" s="153"/>
      <c r="I68" s="153"/>
      <c r="J68" s="154"/>
      <c r="K68" s="155">
        <f>G68/2</f>
        <v>7.5</v>
      </c>
      <c r="L68" s="156"/>
      <c r="M68" s="137">
        <f t="shared" ref="M68" si="2">G68</f>
        <v>15</v>
      </c>
      <c r="N68" s="138">
        <f>F68-K68</f>
        <v>19.5</v>
      </c>
      <c r="O68" s="157"/>
      <c r="P68" s="158"/>
      <c r="Q68" s="158"/>
      <c r="R68" s="158"/>
      <c r="S68" s="158"/>
      <c r="T68" s="158"/>
    </row>
    <row r="69" spans="3:24" hidden="1">
      <c r="O69" s="109"/>
      <c r="P69" s="109"/>
      <c r="Q69" s="109"/>
      <c r="R69" s="109"/>
      <c r="S69" s="109"/>
      <c r="T69" s="109"/>
      <c r="X69" s="33"/>
    </row>
    <row r="70" spans="3:24" hidden="1">
      <c r="O70" s="109"/>
      <c r="P70" s="109"/>
      <c r="Q70" s="109"/>
      <c r="R70" s="109"/>
      <c r="S70" s="109"/>
      <c r="T70" s="109"/>
    </row>
    <row r="71" spans="3:24" hidden="1">
      <c r="C71" s="55" t="s">
        <v>82</v>
      </c>
      <c r="F71" s="1">
        <f>SUM(F60:F68,F57:F58)</f>
        <v>359</v>
      </c>
      <c r="O71" s="109"/>
      <c r="P71" s="109"/>
      <c r="Q71" s="109"/>
      <c r="R71" s="109"/>
      <c r="S71" s="109"/>
      <c r="T71" s="109"/>
    </row>
    <row r="72" spans="3:24" hidden="1">
      <c r="C72" s="56" t="s">
        <v>83</v>
      </c>
      <c r="D72" s="57"/>
      <c r="E72" s="57"/>
      <c r="F72" s="57">
        <f>F56-F71</f>
        <v>7</v>
      </c>
    </row>
    <row r="73" spans="3:24" hidden="1"/>
    <row r="74" spans="3:24" hidden="1">
      <c r="C74" s="55" t="s">
        <v>85</v>
      </c>
      <c r="F74" s="1">
        <f>SUM(F57,F58,F60,F61,F62,F63,F64,F65,F66,F68)</f>
        <v>353</v>
      </c>
    </row>
    <row r="75" spans="3:24" hidden="1">
      <c r="C75" s="55" t="s">
        <v>82</v>
      </c>
      <c r="F75" s="1">
        <f>SUM(F57:F58,F60:F68)</f>
        <v>359</v>
      </c>
    </row>
    <row r="76" spans="3:24" hidden="1">
      <c r="C76" s="55" t="s">
        <v>86</v>
      </c>
      <c r="F76" s="1">
        <v>258</v>
      </c>
    </row>
    <row r="77" spans="3:24" hidden="1">
      <c r="F77" s="1">
        <f>F76-F75</f>
        <v>-101</v>
      </c>
    </row>
    <row r="78" spans="3:24" hidden="1"/>
    <row r="79" spans="3:24" hidden="1"/>
    <row r="80" spans="3:24" hidden="1">
      <c r="C80" s="1">
        <f>F55+F57+F58+F59+F60</f>
        <v>366</v>
      </c>
      <c r="D80" s="159" t="s">
        <v>87</v>
      </c>
      <c r="E80" s="159"/>
      <c r="F80" s="159"/>
      <c r="G80" s="159"/>
      <c r="H80" s="159"/>
      <c r="I80" s="159"/>
    </row>
    <row r="81" spans="2:6" hidden="1"/>
    <row r="82" spans="2:6" hidden="1"/>
    <row r="83" spans="2:6" hidden="1"/>
    <row r="84" spans="2:6" hidden="1">
      <c r="B84" s="55" t="s">
        <v>86</v>
      </c>
      <c r="E84" s="1">
        <f>SUM(O57:O58,F61:F68)</f>
        <v>277</v>
      </c>
    </row>
    <row r="85" spans="2:6" hidden="1">
      <c r="E85" s="1">
        <v>260</v>
      </c>
      <c r="F85" s="1" t="s">
        <v>99</v>
      </c>
    </row>
    <row r="86" spans="2:6" hidden="1">
      <c r="E86" s="1">
        <v>258</v>
      </c>
    </row>
    <row r="87" spans="2:6" hidden="1">
      <c r="E87" s="128">
        <f>F56-F76</f>
        <v>108</v>
      </c>
    </row>
    <row r="88" spans="2:6" hidden="1">
      <c r="E88" s="140">
        <f>204-E87</f>
        <v>96</v>
      </c>
      <c r="F88" s="1" t="s">
        <v>100</v>
      </c>
    </row>
    <row r="89" spans="2:6" hidden="1">
      <c r="E89" s="139">
        <f>130-E88</f>
        <v>34</v>
      </c>
      <c r="F89" s="1" t="s">
        <v>101</v>
      </c>
    </row>
  </sheetData>
  <mergeCells count="170">
    <mergeCell ref="I23:J23"/>
    <mergeCell ref="BC4:BO4"/>
    <mergeCell ref="BP4:CB4"/>
    <mergeCell ref="K8:M11"/>
    <mergeCell ref="N8:AB11"/>
    <mergeCell ref="AS8:AV8"/>
    <mergeCell ref="BH8:BJ8"/>
    <mergeCell ref="BU8:BW8"/>
    <mergeCell ref="AD10:AN11"/>
    <mergeCell ref="AO10:AW11"/>
    <mergeCell ref="AX10:AZ11"/>
    <mergeCell ref="BF10:BJ11"/>
    <mergeCell ref="BK10:BM11"/>
    <mergeCell ref="BF15:BM18"/>
    <mergeCell ref="BP15:CB20"/>
    <mergeCell ref="AT14:AW25"/>
    <mergeCell ref="AX14:BA25"/>
    <mergeCell ref="BB14:BC23"/>
    <mergeCell ref="BP21:BR25"/>
    <mergeCell ref="BP10:CB14"/>
    <mergeCell ref="BS21:BW25"/>
    <mergeCell ref="BX21:CB25"/>
    <mergeCell ref="BF23:BI24"/>
    <mergeCell ref="BJ23:BM24"/>
    <mergeCell ref="G19:H19"/>
    <mergeCell ref="AP14:AS25"/>
    <mergeCell ref="G15:H15"/>
    <mergeCell ref="I15:J15"/>
    <mergeCell ref="I19:J19"/>
    <mergeCell ref="C4:E15"/>
    <mergeCell ref="H13:I13"/>
    <mergeCell ref="G14:H14"/>
    <mergeCell ref="I14:J14"/>
    <mergeCell ref="L14:M17"/>
    <mergeCell ref="N14:N19"/>
    <mergeCell ref="K4:M7"/>
    <mergeCell ref="N4:AB7"/>
    <mergeCell ref="AD4:AK7"/>
    <mergeCell ref="AM4:BB4"/>
    <mergeCell ref="BA10:BE11"/>
    <mergeCell ref="AG14:AK25"/>
    <mergeCell ref="AL14:AO25"/>
    <mergeCell ref="G4:J11"/>
    <mergeCell ref="Y14:AC25"/>
    <mergeCell ref="G22:H22"/>
    <mergeCell ref="I22:J22"/>
    <mergeCell ref="L22:M25"/>
    <mergeCell ref="G23:H23"/>
    <mergeCell ref="BU30:BV30"/>
    <mergeCell ref="G31:L31"/>
    <mergeCell ref="I27:J27"/>
    <mergeCell ref="BH27:BJ27"/>
    <mergeCell ref="G28:H28"/>
    <mergeCell ref="I28:J28"/>
    <mergeCell ref="K28:L28"/>
    <mergeCell ref="G29:H29"/>
    <mergeCell ref="I29:J29"/>
    <mergeCell ref="K29:L29"/>
    <mergeCell ref="Y29:AB29"/>
    <mergeCell ref="BF29:BI31"/>
    <mergeCell ref="BJ29:BM31"/>
    <mergeCell ref="C30:E30"/>
    <mergeCell ref="G30:H30"/>
    <mergeCell ref="I30:J30"/>
    <mergeCell ref="K30:L30"/>
    <mergeCell ref="BF19:BM22"/>
    <mergeCell ref="G20:H20"/>
    <mergeCell ref="I20:J20"/>
    <mergeCell ref="N20:N25"/>
    <mergeCell ref="O20:T25"/>
    <mergeCell ref="C21:E25"/>
    <mergeCell ref="H21:I21"/>
    <mergeCell ref="G24:H24"/>
    <mergeCell ref="I24:J24"/>
    <mergeCell ref="H25:I25"/>
    <mergeCell ref="O14:T19"/>
    <mergeCell ref="V14:X25"/>
    <mergeCell ref="F14:F25"/>
    <mergeCell ref="C16:E20"/>
    <mergeCell ref="G16:H16"/>
    <mergeCell ref="I16:J16"/>
    <mergeCell ref="G17:J17"/>
    <mergeCell ref="G18:H18"/>
    <mergeCell ref="I18:J18"/>
    <mergeCell ref="L18:M21"/>
    <mergeCell ref="N36:Q36"/>
    <mergeCell ref="BF32:BI35"/>
    <mergeCell ref="BJ32:BM35"/>
    <mergeCell ref="BQ32:CA32"/>
    <mergeCell ref="C33:E33"/>
    <mergeCell ref="G33:H33"/>
    <mergeCell ref="I33:J33"/>
    <mergeCell ref="K33:L33"/>
    <mergeCell ref="X33:AD33"/>
    <mergeCell ref="G34:H34"/>
    <mergeCell ref="I34:J34"/>
    <mergeCell ref="AF32:AG32"/>
    <mergeCell ref="AJ32:AK32"/>
    <mergeCell ref="AN32:AO32"/>
    <mergeCell ref="AR32:AS32"/>
    <mergeCell ref="AV32:AW32"/>
    <mergeCell ref="AZ32:BA32"/>
    <mergeCell ref="I32:J32"/>
    <mergeCell ref="N32:O32"/>
    <mergeCell ref="Q32:R32"/>
    <mergeCell ref="T32:U32"/>
    <mergeCell ref="W32:X32"/>
    <mergeCell ref="AC32:AD32"/>
    <mergeCell ref="K34:L34"/>
    <mergeCell ref="BD39:BK39"/>
    <mergeCell ref="BR39:BY39"/>
    <mergeCell ref="C43:E43"/>
    <mergeCell ref="C44:E44"/>
    <mergeCell ref="C45:E45"/>
    <mergeCell ref="C46:E46"/>
    <mergeCell ref="AX36:BA36"/>
    <mergeCell ref="G37:L37"/>
    <mergeCell ref="Q37:X37"/>
    <mergeCell ref="AC37:AJ37"/>
    <mergeCell ref="AQ37:AX37"/>
    <mergeCell ref="G39:L39"/>
    <mergeCell ref="Q39:X39"/>
    <mergeCell ref="AC39:AJ39"/>
    <mergeCell ref="AQ39:AX39"/>
    <mergeCell ref="S36:V36"/>
    <mergeCell ref="X36:AA36"/>
    <mergeCell ref="AD36:AG36"/>
    <mergeCell ref="AI36:AL36"/>
    <mergeCell ref="AN36:AQ36"/>
    <mergeCell ref="AS36:AV36"/>
    <mergeCell ref="C35:E38"/>
    <mergeCell ref="G35:H35"/>
    <mergeCell ref="I35:J35"/>
    <mergeCell ref="K60:L60"/>
    <mergeCell ref="AK52:AL52"/>
    <mergeCell ref="G55:J55"/>
    <mergeCell ref="K55:L55"/>
    <mergeCell ref="C56:E56"/>
    <mergeCell ref="G56:J56"/>
    <mergeCell ref="K56:L56"/>
    <mergeCell ref="C47:E47"/>
    <mergeCell ref="C48:E48"/>
    <mergeCell ref="C49:E49"/>
    <mergeCell ref="C50:E50"/>
    <mergeCell ref="C52:E52"/>
    <mergeCell ref="F52:N53"/>
    <mergeCell ref="K35:L35"/>
    <mergeCell ref="G67:J67"/>
    <mergeCell ref="K67:L67"/>
    <mergeCell ref="C51:E51"/>
    <mergeCell ref="G68:J68"/>
    <mergeCell ref="K68:L68"/>
    <mergeCell ref="O68:T68"/>
    <mergeCell ref="D80:I80"/>
    <mergeCell ref="G57:J58"/>
    <mergeCell ref="G64:J64"/>
    <mergeCell ref="K64:L64"/>
    <mergeCell ref="G65:J65"/>
    <mergeCell ref="K65:L65"/>
    <mergeCell ref="G66:J66"/>
    <mergeCell ref="K66:L66"/>
    <mergeCell ref="G61:J61"/>
    <mergeCell ref="K61:L61"/>
    <mergeCell ref="G62:J62"/>
    <mergeCell ref="K62:L62"/>
    <mergeCell ref="G63:J63"/>
    <mergeCell ref="K63:L63"/>
    <mergeCell ref="K57:L57"/>
    <mergeCell ref="G59:J59"/>
    <mergeCell ref="G60:J60"/>
  </mergeCells>
  <pageMargins left="0.25" right="0.25" top="0.75" bottom="0.75" header="0.3" footer="0.3"/>
  <pageSetup paperSize="9" fitToHeight="0" orientation="landscape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82F8D-1A0A-462F-9176-EAE4068E2C50}">
  <dimension ref="A1:B14"/>
  <sheetViews>
    <sheetView workbookViewId="0">
      <selection activeCell="D19" sqref="D19"/>
    </sheetView>
  </sheetViews>
  <sheetFormatPr defaultRowHeight="15"/>
  <cols>
    <col min="1" max="1" width="12.5703125" customWidth="1"/>
    <col min="2" max="2" width="35.28515625" customWidth="1"/>
  </cols>
  <sheetData>
    <row r="1" spans="1:2">
      <c r="A1" s="101" t="s">
        <v>102</v>
      </c>
      <c r="B1" s="101" t="s">
        <v>103</v>
      </c>
    </row>
    <row r="2" spans="1:2">
      <c r="A2" t="s">
        <v>104</v>
      </c>
      <c r="B2" t="s">
        <v>63</v>
      </c>
    </row>
    <row r="3" spans="1:2">
      <c r="A3" s="103" t="s">
        <v>104</v>
      </c>
      <c r="B3" s="103" t="s">
        <v>105</v>
      </c>
    </row>
    <row r="4" spans="1:2">
      <c r="A4" t="s">
        <v>77</v>
      </c>
      <c r="B4" t="s">
        <v>78</v>
      </c>
    </row>
    <row r="5" spans="1:2">
      <c r="A5" s="103" t="s">
        <v>77</v>
      </c>
      <c r="B5" s="103" t="s">
        <v>106</v>
      </c>
    </row>
    <row r="6" spans="1:2">
      <c r="A6" t="s">
        <v>107</v>
      </c>
      <c r="B6" t="s">
        <v>60</v>
      </c>
    </row>
    <row r="7" spans="1:2">
      <c r="A7" s="102" t="s">
        <v>107</v>
      </c>
      <c r="B7" s="102" t="s">
        <v>108</v>
      </c>
    </row>
    <row r="8" spans="1:2">
      <c r="A8" t="s">
        <v>109</v>
      </c>
      <c r="B8" t="s">
        <v>110</v>
      </c>
    </row>
    <row r="9" spans="1:2">
      <c r="A9" t="s">
        <v>111</v>
      </c>
      <c r="B9" t="s">
        <v>112</v>
      </c>
    </row>
    <row r="10" spans="1:2">
      <c r="A10" t="s">
        <v>113</v>
      </c>
      <c r="B10" t="s">
        <v>114</v>
      </c>
    </row>
    <row r="11" spans="1:2">
      <c r="A11" t="s">
        <v>77</v>
      </c>
      <c r="B11" t="s">
        <v>59</v>
      </c>
    </row>
    <row r="12" spans="1:2">
      <c r="A12" t="s">
        <v>77</v>
      </c>
      <c r="B12" t="s">
        <v>115</v>
      </c>
    </row>
    <row r="13" spans="1:2">
      <c r="A13" s="102" t="s">
        <v>77</v>
      </c>
      <c r="B13" s="102" t="s">
        <v>116</v>
      </c>
    </row>
    <row r="14" spans="1:2">
      <c r="A14" s="104" t="s">
        <v>77</v>
      </c>
      <c r="B14" s="104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3E80A-4B0B-40D8-BF85-EDCB5D6EAE96}">
  <dimension ref="A1:O579"/>
  <sheetViews>
    <sheetView workbookViewId="0">
      <selection activeCell="H8" sqref="H8"/>
    </sheetView>
  </sheetViews>
  <sheetFormatPr defaultRowHeight="15"/>
  <cols>
    <col min="7" max="7" width="27.42578125" bestFit="1" customWidth="1"/>
    <col min="8" max="8" width="14.85546875" bestFit="1" customWidth="1"/>
    <col min="13" max="15" width="0" hidden="1" customWidth="1"/>
  </cols>
  <sheetData>
    <row r="1" spans="1:15">
      <c r="A1" s="101" t="s">
        <v>117</v>
      </c>
      <c r="B1" s="101" t="s">
        <v>118</v>
      </c>
    </row>
    <row r="2" spans="1:15">
      <c r="A2" t="s">
        <v>119</v>
      </c>
      <c r="B2" t="s">
        <v>89</v>
      </c>
    </row>
    <row r="3" spans="1:15">
      <c r="A3" t="s">
        <v>120</v>
      </c>
      <c r="B3" t="s">
        <v>121</v>
      </c>
    </row>
    <row r="4" spans="1:15">
      <c r="A4" t="s">
        <v>122</v>
      </c>
      <c r="B4" t="s">
        <v>121</v>
      </c>
      <c r="G4" s="108" t="s">
        <v>118</v>
      </c>
      <c r="H4" t="s">
        <v>123</v>
      </c>
    </row>
    <row r="5" spans="1:15">
      <c r="A5" t="s">
        <v>124</v>
      </c>
      <c r="B5" t="s">
        <v>125</v>
      </c>
      <c r="G5" t="s">
        <v>121</v>
      </c>
      <c r="H5">
        <v>11</v>
      </c>
      <c r="M5" s="257" t="s">
        <v>59</v>
      </c>
      <c r="N5" s="257"/>
      <c r="O5" s="257"/>
    </row>
    <row r="6" spans="1:15">
      <c r="A6" t="s">
        <v>126</v>
      </c>
      <c r="B6" t="s">
        <v>125</v>
      </c>
      <c r="G6" t="s">
        <v>127</v>
      </c>
      <c r="H6">
        <v>6</v>
      </c>
      <c r="M6" s="258" t="s">
        <v>60</v>
      </c>
      <c r="N6" s="258"/>
      <c r="O6" s="258"/>
    </row>
    <row r="7" spans="1:15">
      <c r="A7" t="s">
        <v>128</v>
      </c>
      <c r="B7" t="s">
        <v>125</v>
      </c>
      <c r="G7" t="s">
        <v>129</v>
      </c>
      <c r="H7">
        <v>16</v>
      </c>
      <c r="M7" s="259" t="s">
        <v>61</v>
      </c>
      <c r="N7" s="259"/>
      <c r="O7" s="259"/>
    </row>
    <row r="8" spans="1:15">
      <c r="A8" t="s">
        <v>130</v>
      </c>
      <c r="B8" t="s">
        <v>78</v>
      </c>
      <c r="G8" t="s">
        <v>131</v>
      </c>
      <c r="H8">
        <v>1</v>
      </c>
      <c r="M8" s="260" t="s">
        <v>62</v>
      </c>
      <c r="N8" s="260"/>
      <c r="O8" s="260"/>
    </row>
    <row r="9" spans="1:15">
      <c r="A9" t="s">
        <v>132</v>
      </c>
      <c r="B9" t="s">
        <v>59</v>
      </c>
      <c r="G9" t="s">
        <v>125</v>
      </c>
      <c r="H9">
        <v>49</v>
      </c>
      <c r="M9" s="261" t="s">
        <v>63</v>
      </c>
      <c r="N9" s="261"/>
      <c r="O9" s="261"/>
    </row>
    <row r="10" spans="1:15">
      <c r="A10" t="s">
        <v>133</v>
      </c>
      <c r="B10" t="s">
        <v>78</v>
      </c>
      <c r="G10" t="s">
        <v>113</v>
      </c>
      <c r="H10">
        <v>8</v>
      </c>
      <c r="M10" s="262" t="s">
        <v>64</v>
      </c>
      <c r="N10" s="263"/>
      <c r="O10" s="263"/>
    </row>
    <row r="11" spans="1:15">
      <c r="A11" t="s">
        <v>134</v>
      </c>
      <c r="B11" t="s">
        <v>59</v>
      </c>
      <c r="G11" t="s">
        <v>135</v>
      </c>
      <c r="H11">
        <v>5</v>
      </c>
      <c r="M11" s="264" t="s">
        <v>65</v>
      </c>
      <c r="N11" s="264"/>
      <c r="O11" s="264"/>
    </row>
    <row r="12" spans="1:15">
      <c r="A12" t="s">
        <v>136</v>
      </c>
      <c r="B12" t="s">
        <v>78</v>
      </c>
      <c r="G12" t="s">
        <v>137</v>
      </c>
      <c r="H12">
        <v>8</v>
      </c>
      <c r="M12" s="254" t="s">
        <v>66</v>
      </c>
      <c r="N12" s="255"/>
      <c r="O12" s="255"/>
    </row>
    <row r="13" spans="1:15">
      <c r="A13" t="s">
        <v>138</v>
      </c>
      <c r="B13" t="s">
        <v>139</v>
      </c>
      <c r="G13" t="s">
        <v>140</v>
      </c>
      <c r="H13">
        <v>9</v>
      </c>
      <c r="M13" s="265" t="s">
        <v>67</v>
      </c>
      <c r="N13" s="265"/>
      <c r="O13" s="265"/>
    </row>
    <row r="14" spans="1:15">
      <c r="A14" t="s">
        <v>141</v>
      </c>
      <c r="B14" t="s">
        <v>59</v>
      </c>
      <c r="G14" t="s">
        <v>142</v>
      </c>
      <c r="H14">
        <v>2</v>
      </c>
      <c r="M14" s="256" t="s">
        <v>68</v>
      </c>
      <c r="N14" s="256"/>
      <c r="O14" s="256"/>
    </row>
    <row r="15" spans="1:15">
      <c r="A15" t="s">
        <v>143</v>
      </c>
      <c r="B15" t="s">
        <v>59</v>
      </c>
      <c r="G15" t="s">
        <v>144</v>
      </c>
      <c r="H15">
        <v>1</v>
      </c>
    </row>
    <row r="16" spans="1:15">
      <c r="A16" t="s">
        <v>145</v>
      </c>
      <c r="B16" t="s">
        <v>78</v>
      </c>
      <c r="G16" t="s">
        <v>146</v>
      </c>
      <c r="H16">
        <v>7</v>
      </c>
    </row>
    <row r="17" spans="1:8">
      <c r="A17" t="s">
        <v>147</v>
      </c>
      <c r="B17" t="s">
        <v>59</v>
      </c>
      <c r="G17" t="s">
        <v>148</v>
      </c>
      <c r="H17">
        <v>4</v>
      </c>
    </row>
    <row r="18" spans="1:8">
      <c r="A18" t="s">
        <v>149</v>
      </c>
      <c r="B18" t="s">
        <v>59</v>
      </c>
      <c r="G18" t="s">
        <v>150</v>
      </c>
      <c r="H18">
        <v>1</v>
      </c>
    </row>
    <row r="19" spans="1:8">
      <c r="A19" t="s">
        <v>151</v>
      </c>
      <c r="B19" t="s">
        <v>59</v>
      </c>
      <c r="G19" t="s">
        <v>152</v>
      </c>
      <c r="H19">
        <v>2</v>
      </c>
    </row>
    <row r="20" spans="1:8">
      <c r="A20" t="s">
        <v>153</v>
      </c>
      <c r="B20" t="s">
        <v>60</v>
      </c>
      <c r="G20" t="s">
        <v>154</v>
      </c>
      <c r="H20">
        <v>13</v>
      </c>
    </row>
    <row r="21" spans="1:8">
      <c r="A21" t="s">
        <v>155</v>
      </c>
      <c r="B21" t="s">
        <v>59</v>
      </c>
      <c r="G21" t="s">
        <v>156</v>
      </c>
      <c r="H21">
        <v>2</v>
      </c>
    </row>
    <row r="22" spans="1:8">
      <c r="A22" t="s">
        <v>157</v>
      </c>
      <c r="B22" t="s">
        <v>60</v>
      </c>
      <c r="G22" t="s">
        <v>158</v>
      </c>
      <c r="H22">
        <v>11</v>
      </c>
    </row>
    <row r="23" spans="1:8">
      <c r="A23" t="s">
        <v>159</v>
      </c>
      <c r="B23" t="s">
        <v>60</v>
      </c>
      <c r="G23" t="s">
        <v>160</v>
      </c>
      <c r="H23">
        <v>1</v>
      </c>
    </row>
    <row r="24" spans="1:8">
      <c r="A24" t="s">
        <v>161</v>
      </c>
      <c r="B24" t="s">
        <v>60</v>
      </c>
      <c r="G24" t="s">
        <v>162</v>
      </c>
      <c r="H24">
        <v>2</v>
      </c>
    </row>
    <row r="25" spans="1:8">
      <c r="A25" t="s">
        <v>163</v>
      </c>
      <c r="B25" t="s">
        <v>60</v>
      </c>
      <c r="G25" t="s">
        <v>112</v>
      </c>
      <c r="H25">
        <v>4</v>
      </c>
    </row>
    <row r="26" spans="1:8">
      <c r="A26" t="s">
        <v>164</v>
      </c>
      <c r="B26" t="s">
        <v>60</v>
      </c>
      <c r="G26" t="s">
        <v>116</v>
      </c>
      <c r="H26">
        <v>10</v>
      </c>
    </row>
    <row r="27" spans="1:8">
      <c r="A27" t="s">
        <v>165</v>
      </c>
      <c r="B27" t="s">
        <v>59</v>
      </c>
      <c r="G27" t="s">
        <v>60</v>
      </c>
      <c r="H27">
        <v>60</v>
      </c>
    </row>
    <row r="28" spans="1:8">
      <c r="A28" t="s">
        <v>166</v>
      </c>
      <c r="B28" t="s">
        <v>60</v>
      </c>
      <c r="G28" t="s">
        <v>89</v>
      </c>
      <c r="H28">
        <v>39</v>
      </c>
    </row>
    <row r="29" spans="1:8">
      <c r="A29" t="s">
        <v>167</v>
      </c>
      <c r="B29" t="s">
        <v>59</v>
      </c>
      <c r="G29" t="s">
        <v>139</v>
      </c>
      <c r="H29">
        <v>1</v>
      </c>
    </row>
    <row r="30" spans="1:8">
      <c r="A30" t="s">
        <v>168</v>
      </c>
      <c r="B30" t="s">
        <v>60</v>
      </c>
      <c r="G30" t="s">
        <v>169</v>
      </c>
      <c r="H30">
        <v>13</v>
      </c>
    </row>
    <row r="31" spans="1:8">
      <c r="A31" t="s">
        <v>170</v>
      </c>
      <c r="B31" t="s">
        <v>60</v>
      </c>
      <c r="G31" t="s">
        <v>171</v>
      </c>
      <c r="H31">
        <v>16</v>
      </c>
    </row>
    <row r="32" spans="1:8">
      <c r="A32" t="s">
        <v>172</v>
      </c>
      <c r="B32" t="s">
        <v>60</v>
      </c>
      <c r="G32" t="s">
        <v>173</v>
      </c>
      <c r="H32">
        <v>2</v>
      </c>
    </row>
    <row r="33" spans="1:8">
      <c r="A33" t="s">
        <v>174</v>
      </c>
      <c r="B33" t="s">
        <v>78</v>
      </c>
      <c r="G33" t="s">
        <v>59</v>
      </c>
      <c r="H33">
        <v>73</v>
      </c>
    </row>
    <row r="34" spans="1:8">
      <c r="A34" t="s">
        <v>175</v>
      </c>
      <c r="B34" t="s">
        <v>60</v>
      </c>
      <c r="G34" t="s">
        <v>176</v>
      </c>
      <c r="H34">
        <v>16</v>
      </c>
    </row>
    <row r="35" spans="1:8">
      <c r="A35" t="s">
        <v>177</v>
      </c>
      <c r="B35" t="s">
        <v>78</v>
      </c>
      <c r="G35" t="s">
        <v>63</v>
      </c>
      <c r="H35">
        <v>51</v>
      </c>
    </row>
    <row r="36" spans="1:8">
      <c r="A36" t="s">
        <v>178</v>
      </c>
      <c r="B36" t="s">
        <v>59</v>
      </c>
      <c r="G36" t="s">
        <v>78</v>
      </c>
      <c r="H36">
        <v>134</v>
      </c>
    </row>
    <row r="37" spans="1:8">
      <c r="A37" t="s">
        <v>179</v>
      </c>
      <c r="B37" t="s">
        <v>59</v>
      </c>
      <c r="G37" t="s">
        <v>180</v>
      </c>
    </row>
    <row r="38" spans="1:8">
      <c r="A38" t="s">
        <v>181</v>
      </c>
      <c r="B38" t="s">
        <v>59</v>
      </c>
      <c r="G38" t="s">
        <v>182</v>
      </c>
      <c r="H38">
        <v>578</v>
      </c>
    </row>
    <row r="39" spans="1:8">
      <c r="A39" t="s">
        <v>183</v>
      </c>
      <c r="B39" t="s">
        <v>59</v>
      </c>
    </row>
    <row r="40" spans="1:8">
      <c r="A40" t="s">
        <v>184</v>
      </c>
      <c r="B40" t="s">
        <v>59</v>
      </c>
    </row>
    <row r="41" spans="1:8">
      <c r="A41" t="s">
        <v>185</v>
      </c>
      <c r="B41" t="s">
        <v>59</v>
      </c>
    </row>
    <row r="42" spans="1:8">
      <c r="A42" t="s">
        <v>186</v>
      </c>
      <c r="B42" t="s">
        <v>59</v>
      </c>
    </row>
    <row r="43" spans="1:8">
      <c r="A43" t="s">
        <v>187</v>
      </c>
      <c r="B43" t="s">
        <v>59</v>
      </c>
    </row>
    <row r="44" spans="1:8">
      <c r="A44" t="s">
        <v>188</v>
      </c>
      <c r="B44" t="s">
        <v>59</v>
      </c>
    </row>
    <row r="45" spans="1:8">
      <c r="A45" t="s">
        <v>189</v>
      </c>
      <c r="B45" t="s">
        <v>59</v>
      </c>
    </row>
    <row r="46" spans="1:8">
      <c r="A46" t="s">
        <v>190</v>
      </c>
      <c r="B46" t="s">
        <v>78</v>
      </c>
    </row>
    <row r="47" spans="1:8">
      <c r="A47" t="s">
        <v>191</v>
      </c>
      <c r="B47" t="s">
        <v>171</v>
      </c>
    </row>
    <row r="48" spans="1:8">
      <c r="A48" t="s">
        <v>192</v>
      </c>
      <c r="B48" t="s">
        <v>78</v>
      </c>
    </row>
    <row r="49" spans="1:2">
      <c r="A49" t="s">
        <v>193</v>
      </c>
      <c r="B49" t="s">
        <v>59</v>
      </c>
    </row>
    <row r="50" spans="1:2">
      <c r="A50" t="s">
        <v>194</v>
      </c>
      <c r="B50" t="s">
        <v>78</v>
      </c>
    </row>
    <row r="51" spans="1:2">
      <c r="A51" t="s">
        <v>195</v>
      </c>
      <c r="B51" t="s">
        <v>59</v>
      </c>
    </row>
    <row r="52" spans="1:2">
      <c r="A52" t="s">
        <v>196</v>
      </c>
      <c r="B52" t="s">
        <v>59</v>
      </c>
    </row>
    <row r="53" spans="1:2">
      <c r="A53" t="s">
        <v>197</v>
      </c>
      <c r="B53" t="s">
        <v>60</v>
      </c>
    </row>
    <row r="54" spans="1:2">
      <c r="A54" t="s">
        <v>198</v>
      </c>
      <c r="B54" t="s">
        <v>59</v>
      </c>
    </row>
    <row r="55" spans="1:2">
      <c r="A55" t="s">
        <v>199</v>
      </c>
      <c r="B55" t="s">
        <v>59</v>
      </c>
    </row>
    <row r="56" spans="1:2">
      <c r="A56" t="s">
        <v>200</v>
      </c>
      <c r="B56" t="s">
        <v>60</v>
      </c>
    </row>
    <row r="57" spans="1:2">
      <c r="A57" t="s">
        <v>201</v>
      </c>
      <c r="B57" t="s">
        <v>60</v>
      </c>
    </row>
    <row r="58" spans="1:2">
      <c r="A58" t="s">
        <v>202</v>
      </c>
      <c r="B58" t="s">
        <v>60</v>
      </c>
    </row>
    <row r="59" spans="1:2">
      <c r="A59" t="s">
        <v>203</v>
      </c>
      <c r="B59" t="s">
        <v>60</v>
      </c>
    </row>
    <row r="60" spans="1:2">
      <c r="A60" t="s">
        <v>204</v>
      </c>
      <c r="B60" t="s">
        <v>59</v>
      </c>
    </row>
    <row r="61" spans="1:2">
      <c r="A61" t="s">
        <v>205</v>
      </c>
      <c r="B61" t="s">
        <v>60</v>
      </c>
    </row>
    <row r="62" spans="1:2">
      <c r="A62" t="s">
        <v>206</v>
      </c>
      <c r="B62" t="s">
        <v>59</v>
      </c>
    </row>
    <row r="63" spans="1:2">
      <c r="A63" t="s">
        <v>207</v>
      </c>
      <c r="B63" t="s">
        <v>59</v>
      </c>
    </row>
    <row r="64" spans="1:2">
      <c r="A64" t="s">
        <v>208</v>
      </c>
      <c r="B64" t="s">
        <v>78</v>
      </c>
    </row>
    <row r="65" spans="1:2">
      <c r="A65" t="s">
        <v>209</v>
      </c>
      <c r="B65" t="s">
        <v>78</v>
      </c>
    </row>
    <row r="66" spans="1:2">
      <c r="A66" t="s">
        <v>210</v>
      </c>
      <c r="B66" t="s">
        <v>78</v>
      </c>
    </row>
    <row r="67" spans="1:2">
      <c r="A67" t="s">
        <v>211</v>
      </c>
      <c r="B67" t="s">
        <v>78</v>
      </c>
    </row>
    <row r="68" spans="1:2">
      <c r="A68" t="s">
        <v>212</v>
      </c>
      <c r="B68" t="s">
        <v>60</v>
      </c>
    </row>
    <row r="69" spans="1:2">
      <c r="A69" t="s">
        <v>213</v>
      </c>
      <c r="B69" t="s">
        <v>60</v>
      </c>
    </row>
    <row r="70" spans="1:2">
      <c r="A70" t="s">
        <v>214</v>
      </c>
      <c r="B70" t="s">
        <v>60</v>
      </c>
    </row>
    <row r="71" spans="1:2">
      <c r="A71" t="s">
        <v>215</v>
      </c>
      <c r="B71" t="s">
        <v>78</v>
      </c>
    </row>
    <row r="72" spans="1:2">
      <c r="A72" t="s">
        <v>216</v>
      </c>
      <c r="B72" t="s">
        <v>78</v>
      </c>
    </row>
    <row r="73" spans="1:2">
      <c r="A73" t="s">
        <v>217</v>
      </c>
      <c r="B73" t="s">
        <v>78</v>
      </c>
    </row>
    <row r="74" spans="1:2">
      <c r="A74" t="s">
        <v>218</v>
      </c>
      <c r="B74" t="s">
        <v>60</v>
      </c>
    </row>
    <row r="75" spans="1:2">
      <c r="A75" t="s">
        <v>219</v>
      </c>
      <c r="B75" t="s">
        <v>78</v>
      </c>
    </row>
    <row r="76" spans="1:2">
      <c r="A76" t="s">
        <v>220</v>
      </c>
      <c r="B76" t="s">
        <v>78</v>
      </c>
    </row>
    <row r="77" spans="1:2">
      <c r="A77" t="s">
        <v>221</v>
      </c>
      <c r="B77" t="s">
        <v>78</v>
      </c>
    </row>
    <row r="78" spans="1:2">
      <c r="A78" t="s">
        <v>222</v>
      </c>
      <c r="B78" t="s">
        <v>78</v>
      </c>
    </row>
    <row r="79" spans="1:2">
      <c r="A79" t="s">
        <v>223</v>
      </c>
      <c r="B79" t="s">
        <v>60</v>
      </c>
    </row>
    <row r="80" spans="1:2">
      <c r="A80" t="s">
        <v>224</v>
      </c>
      <c r="B80" t="s">
        <v>78</v>
      </c>
    </row>
    <row r="81" spans="1:2">
      <c r="A81" t="s">
        <v>225</v>
      </c>
      <c r="B81" t="s">
        <v>60</v>
      </c>
    </row>
    <row r="82" spans="1:2">
      <c r="A82" t="s">
        <v>226</v>
      </c>
      <c r="B82" t="s">
        <v>60</v>
      </c>
    </row>
    <row r="83" spans="1:2">
      <c r="A83" t="s">
        <v>227</v>
      </c>
      <c r="B83" t="s">
        <v>60</v>
      </c>
    </row>
    <row r="84" spans="1:2">
      <c r="A84" t="s">
        <v>228</v>
      </c>
      <c r="B84" t="s">
        <v>78</v>
      </c>
    </row>
    <row r="85" spans="1:2">
      <c r="A85" t="s">
        <v>229</v>
      </c>
      <c r="B85" t="s">
        <v>78</v>
      </c>
    </row>
    <row r="86" spans="1:2">
      <c r="A86" t="s">
        <v>230</v>
      </c>
      <c r="B86" t="s">
        <v>59</v>
      </c>
    </row>
    <row r="87" spans="1:2">
      <c r="A87" t="s">
        <v>231</v>
      </c>
      <c r="B87" t="s">
        <v>60</v>
      </c>
    </row>
    <row r="88" spans="1:2">
      <c r="A88" t="s">
        <v>232</v>
      </c>
      <c r="B88" t="s">
        <v>78</v>
      </c>
    </row>
    <row r="89" spans="1:2">
      <c r="A89" t="s">
        <v>233</v>
      </c>
      <c r="B89" t="s">
        <v>60</v>
      </c>
    </row>
    <row r="90" spans="1:2">
      <c r="A90" t="s">
        <v>234</v>
      </c>
      <c r="B90" t="s">
        <v>78</v>
      </c>
    </row>
    <row r="91" spans="1:2">
      <c r="A91" t="s">
        <v>235</v>
      </c>
      <c r="B91" t="s">
        <v>60</v>
      </c>
    </row>
    <row r="92" spans="1:2">
      <c r="A92" t="s">
        <v>236</v>
      </c>
      <c r="B92" t="s">
        <v>78</v>
      </c>
    </row>
    <row r="93" spans="1:2">
      <c r="A93" t="s">
        <v>237</v>
      </c>
      <c r="B93" t="s">
        <v>59</v>
      </c>
    </row>
    <row r="94" spans="1:2">
      <c r="A94" t="s">
        <v>238</v>
      </c>
      <c r="B94" t="s">
        <v>59</v>
      </c>
    </row>
    <row r="95" spans="1:2">
      <c r="A95" t="s">
        <v>239</v>
      </c>
      <c r="B95" t="s">
        <v>60</v>
      </c>
    </row>
    <row r="96" spans="1:2">
      <c r="A96" t="s">
        <v>240</v>
      </c>
      <c r="B96" t="s">
        <v>60</v>
      </c>
    </row>
    <row r="97" spans="1:2">
      <c r="A97" t="s">
        <v>241</v>
      </c>
      <c r="B97" t="s">
        <v>59</v>
      </c>
    </row>
    <row r="98" spans="1:2">
      <c r="A98" t="s">
        <v>242</v>
      </c>
      <c r="B98" t="s">
        <v>60</v>
      </c>
    </row>
    <row r="99" spans="1:2">
      <c r="A99" t="s">
        <v>243</v>
      </c>
      <c r="B99" t="s">
        <v>60</v>
      </c>
    </row>
    <row r="100" spans="1:2">
      <c r="A100" t="s">
        <v>244</v>
      </c>
      <c r="B100" t="s">
        <v>78</v>
      </c>
    </row>
    <row r="101" spans="1:2">
      <c r="A101" t="s">
        <v>245</v>
      </c>
      <c r="B101" t="s">
        <v>78</v>
      </c>
    </row>
    <row r="102" spans="1:2">
      <c r="A102" t="s">
        <v>246</v>
      </c>
      <c r="B102" t="s">
        <v>59</v>
      </c>
    </row>
    <row r="103" spans="1:2">
      <c r="A103" t="s">
        <v>247</v>
      </c>
      <c r="B103" t="s">
        <v>78</v>
      </c>
    </row>
    <row r="104" spans="1:2">
      <c r="A104" t="s">
        <v>248</v>
      </c>
      <c r="B104" t="s">
        <v>78</v>
      </c>
    </row>
    <row r="105" spans="1:2">
      <c r="A105" t="s">
        <v>249</v>
      </c>
      <c r="B105" t="s">
        <v>60</v>
      </c>
    </row>
    <row r="106" spans="1:2">
      <c r="A106" t="s">
        <v>250</v>
      </c>
      <c r="B106" t="s">
        <v>78</v>
      </c>
    </row>
    <row r="107" spans="1:2">
      <c r="A107" t="s">
        <v>251</v>
      </c>
      <c r="B107" t="s">
        <v>59</v>
      </c>
    </row>
    <row r="108" spans="1:2">
      <c r="A108" t="s">
        <v>252</v>
      </c>
      <c r="B108" t="s">
        <v>78</v>
      </c>
    </row>
    <row r="109" spans="1:2">
      <c r="A109" t="s">
        <v>253</v>
      </c>
      <c r="B109" t="s">
        <v>78</v>
      </c>
    </row>
    <row r="110" spans="1:2">
      <c r="A110" t="s">
        <v>254</v>
      </c>
      <c r="B110" t="s">
        <v>78</v>
      </c>
    </row>
    <row r="111" spans="1:2">
      <c r="A111" t="s">
        <v>255</v>
      </c>
      <c r="B111" t="s">
        <v>60</v>
      </c>
    </row>
    <row r="112" spans="1:2">
      <c r="A112" t="s">
        <v>256</v>
      </c>
      <c r="B112" t="s">
        <v>78</v>
      </c>
    </row>
    <row r="113" spans="1:2">
      <c r="A113" t="s">
        <v>257</v>
      </c>
      <c r="B113" t="s">
        <v>78</v>
      </c>
    </row>
    <row r="114" spans="1:2">
      <c r="A114" t="s">
        <v>258</v>
      </c>
      <c r="B114" t="s">
        <v>78</v>
      </c>
    </row>
    <row r="115" spans="1:2">
      <c r="A115" t="s">
        <v>259</v>
      </c>
      <c r="B115" t="s">
        <v>78</v>
      </c>
    </row>
    <row r="116" spans="1:2">
      <c r="A116" t="s">
        <v>260</v>
      </c>
      <c r="B116" t="s">
        <v>59</v>
      </c>
    </row>
    <row r="117" spans="1:2">
      <c r="A117" t="s">
        <v>261</v>
      </c>
      <c r="B117" t="s">
        <v>60</v>
      </c>
    </row>
    <row r="118" spans="1:2">
      <c r="A118" t="s">
        <v>262</v>
      </c>
      <c r="B118" t="s">
        <v>60</v>
      </c>
    </row>
    <row r="119" spans="1:2">
      <c r="A119" t="s">
        <v>263</v>
      </c>
      <c r="B119" t="s">
        <v>60</v>
      </c>
    </row>
    <row r="120" spans="1:2">
      <c r="A120" t="s">
        <v>264</v>
      </c>
      <c r="B120" t="s">
        <v>60</v>
      </c>
    </row>
    <row r="121" spans="1:2">
      <c r="A121" t="s">
        <v>265</v>
      </c>
      <c r="B121" t="s">
        <v>60</v>
      </c>
    </row>
    <row r="122" spans="1:2">
      <c r="A122" t="s">
        <v>266</v>
      </c>
      <c r="B122" t="s">
        <v>59</v>
      </c>
    </row>
    <row r="123" spans="1:2">
      <c r="A123" t="s">
        <v>267</v>
      </c>
      <c r="B123" t="s">
        <v>78</v>
      </c>
    </row>
    <row r="124" spans="1:2">
      <c r="A124" t="s">
        <v>268</v>
      </c>
      <c r="B124" t="s">
        <v>59</v>
      </c>
    </row>
    <row r="125" spans="1:2">
      <c r="A125" t="s">
        <v>269</v>
      </c>
      <c r="B125" t="s">
        <v>63</v>
      </c>
    </row>
    <row r="126" spans="1:2">
      <c r="A126" t="s">
        <v>270</v>
      </c>
      <c r="B126" t="s">
        <v>59</v>
      </c>
    </row>
    <row r="127" spans="1:2">
      <c r="A127" t="s">
        <v>271</v>
      </c>
      <c r="B127" t="s">
        <v>78</v>
      </c>
    </row>
    <row r="128" spans="1:2">
      <c r="A128" t="s">
        <v>272</v>
      </c>
      <c r="B128" t="s">
        <v>78</v>
      </c>
    </row>
    <row r="129" spans="1:2">
      <c r="A129" t="s">
        <v>273</v>
      </c>
      <c r="B129" t="s">
        <v>59</v>
      </c>
    </row>
    <row r="130" spans="1:2">
      <c r="A130" t="s">
        <v>274</v>
      </c>
      <c r="B130" t="s">
        <v>78</v>
      </c>
    </row>
    <row r="131" spans="1:2">
      <c r="A131" t="s">
        <v>275</v>
      </c>
      <c r="B131" t="s">
        <v>59</v>
      </c>
    </row>
    <row r="132" spans="1:2">
      <c r="A132" t="s">
        <v>276</v>
      </c>
      <c r="B132" t="s">
        <v>78</v>
      </c>
    </row>
    <row r="133" spans="1:2">
      <c r="A133" t="s">
        <v>277</v>
      </c>
      <c r="B133" t="s">
        <v>78</v>
      </c>
    </row>
    <row r="134" spans="1:2">
      <c r="A134" t="s">
        <v>278</v>
      </c>
      <c r="B134" t="s">
        <v>78</v>
      </c>
    </row>
    <row r="135" spans="1:2">
      <c r="A135" t="s">
        <v>279</v>
      </c>
      <c r="B135" t="s">
        <v>59</v>
      </c>
    </row>
    <row r="136" spans="1:2">
      <c r="A136" t="s">
        <v>280</v>
      </c>
      <c r="B136" t="s">
        <v>59</v>
      </c>
    </row>
    <row r="137" spans="1:2">
      <c r="A137" t="s">
        <v>281</v>
      </c>
      <c r="B137" t="s">
        <v>59</v>
      </c>
    </row>
    <row r="138" spans="1:2">
      <c r="A138" t="s">
        <v>282</v>
      </c>
      <c r="B138" t="s">
        <v>78</v>
      </c>
    </row>
    <row r="139" spans="1:2">
      <c r="A139" t="s">
        <v>283</v>
      </c>
      <c r="B139" t="s">
        <v>78</v>
      </c>
    </row>
    <row r="140" spans="1:2">
      <c r="A140" t="s">
        <v>284</v>
      </c>
      <c r="B140" t="s">
        <v>59</v>
      </c>
    </row>
    <row r="141" spans="1:2">
      <c r="A141" t="s">
        <v>285</v>
      </c>
      <c r="B141" t="s">
        <v>89</v>
      </c>
    </row>
    <row r="142" spans="1:2">
      <c r="A142" t="s">
        <v>286</v>
      </c>
      <c r="B142" t="s">
        <v>89</v>
      </c>
    </row>
    <row r="143" spans="1:2">
      <c r="A143" t="s">
        <v>287</v>
      </c>
      <c r="B143" t="s">
        <v>89</v>
      </c>
    </row>
    <row r="144" spans="1:2">
      <c r="A144" t="s">
        <v>288</v>
      </c>
      <c r="B144" t="s">
        <v>89</v>
      </c>
    </row>
    <row r="145" spans="1:2">
      <c r="A145" t="s">
        <v>289</v>
      </c>
      <c r="B145" t="s">
        <v>89</v>
      </c>
    </row>
    <row r="146" spans="1:2">
      <c r="A146" t="s">
        <v>290</v>
      </c>
      <c r="B146" t="s">
        <v>59</v>
      </c>
    </row>
    <row r="147" spans="1:2">
      <c r="A147" t="s">
        <v>291</v>
      </c>
      <c r="B147" t="s">
        <v>59</v>
      </c>
    </row>
    <row r="148" spans="1:2">
      <c r="A148" t="s">
        <v>292</v>
      </c>
      <c r="B148" t="s">
        <v>78</v>
      </c>
    </row>
    <row r="149" spans="1:2">
      <c r="A149" t="s">
        <v>293</v>
      </c>
      <c r="B149" t="s">
        <v>59</v>
      </c>
    </row>
    <row r="150" spans="1:2">
      <c r="A150" t="s">
        <v>294</v>
      </c>
      <c r="B150" t="s">
        <v>59</v>
      </c>
    </row>
    <row r="151" spans="1:2">
      <c r="A151" t="s">
        <v>295</v>
      </c>
      <c r="B151" t="s">
        <v>60</v>
      </c>
    </row>
    <row r="152" spans="1:2">
      <c r="A152" t="s">
        <v>296</v>
      </c>
      <c r="B152" t="s">
        <v>63</v>
      </c>
    </row>
    <row r="153" spans="1:2">
      <c r="A153" t="s">
        <v>297</v>
      </c>
      <c r="B153" t="s">
        <v>59</v>
      </c>
    </row>
    <row r="154" spans="1:2">
      <c r="A154" t="s">
        <v>298</v>
      </c>
      <c r="B154" t="s">
        <v>60</v>
      </c>
    </row>
    <row r="155" spans="1:2">
      <c r="A155" t="s">
        <v>299</v>
      </c>
      <c r="B155" t="s">
        <v>59</v>
      </c>
    </row>
    <row r="156" spans="1:2">
      <c r="A156" t="s">
        <v>300</v>
      </c>
      <c r="B156" t="s">
        <v>60</v>
      </c>
    </row>
    <row r="157" spans="1:2">
      <c r="A157" t="s">
        <v>301</v>
      </c>
      <c r="B157" t="s">
        <v>59</v>
      </c>
    </row>
    <row r="158" spans="1:2">
      <c r="A158" t="s">
        <v>302</v>
      </c>
      <c r="B158" t="s">
        <v>59</v>
      </c>
    </row>
    <row r="159" spans="1:2">
      <c r="A159" t="s">
        <v>303</v>
      </c>
      <c r="B159" t="s">
        <v>78</v>
      </c>
    </row>
    <row r="160" spans="1:2">
      <c r="A160" t="s">
        <v>304</v>
      </c>
      <c r="B160" t="s">
        <v>78</v>
      </c>
    </row>
    <row r="161" spans="1:2">
      <c r="A161" t="s">
        <v>305</v>
      </c>
      <c r="B161" t="s">
        <v>78</v>
      </c>
    </row>
    <row r="162" spans="1:2">
      <c r="A162" t="s">
        <v>306</v>
      </c>
      <c r="B162" t="s">
        <v>59</v>
      </c>
    </row>
    <row r="163" spans="1:2">
      <c r="A163" t="s">
        <v>307</v>
      </c>
      <c r="B163" t="s">
        <v>78</v>
      </c>
    </row>
    <row r="164" spans="1:2">
      <c r="A164" t="s">
        <v>308</v>
      </c>
      <c r="B164" t="s">
        <v>59</v>
      </c>
    </row>
    <row r="165" spans="1:2">
      <c r="A165" t="s">
        <v>309</v>
      </c>
      <c r="B165" t="s">
        <v>59</v>
      </c>
    </row>
    <row r="166" spans="1:2">
      <c r="A166" t="s">
        <v>310</v>
      </c>
      <c r="B166" t="s">
        <v>78</v>
      </c>
    </row>
    <row r="167" spans="1:2">
      <c r="A167" t="s">
        <v>311</v>
      </c>
      <c r="B167" t="s">
        <v>78</v>
      </c>
    </row>
    <row r="168" spans="1:2">
      <c r="A168" t="s">
        <v>312</v>
      </c>
      <c r="B168" t="s">
        <v>78</v>
      </c>
    </row>
    <row r="169" spans="1:2">
      <c r="A169" t="s">
        <v>313</v>
      </c>
      <c r="B169" t="s">
        <v>89</v>
      </c>
    </row>
    <row r="170" spans="1:2">
      <c r="A170" t="s">
        <v>314</v>
      </c>
      <c r="B170" t="s">
        <v>89</v>
      </c>
    </row>
    <row r="171" spans="1:2">
      <c r="A171" t="s">
        <v>315</v>
      </c>
      <c r="B171" t="s">
        <v>59</v>
      </c>
    </row>
    <row r="172" spans="1:2">
      <c r="A172" t="s">
        <v>316</v>
      </c>
      <c r="B172" t="s">
        <v>59</v>
      </c>
    </row>
    <row r="173" spans="1:2">
      <c r="A173" t="s">
        <v>317</v>
      </c>
      <c r="B173" t="s">
        <v>59</v>
      </c>
    </row>
    <row r="174" spans="1:2">
      <c r="A174" t="s">
        <v>318</v>
      </c>
      <c r="B174" t="s">
        <v>89</v>
      </c>
    </row>
    <row r="175" spans="1:2">
      <c r="A175" t="s">
        <v>319</v>
      </c>
      <c r="B175" t="s">
        <v>89</v>
      </c>
    </row>
    <row r="176" spans="1:2">
      <c r="A176" t="s">
        <v>320</v>
      </c>
      <c r="B176" t="s">
        <v>89</v>
      </c>
    </row>
    <row r="177" spans="1:2">
      <c r="A177" t="s">
        <v>321</v>
      </c>
      <c r="B177" t="s">
        <v>89</v>
      </c>
    </row>
    <row r="178" spans="1:2">
      <c r="A178" t="s">
        <v>322</v>
      </c>
      <c r="B178" t="s">
        <v>89</v>
      </c>
    </row>
    <row r="179" spans="1:2">
      <c r="A179" t="s">
        <v>323</v>
      </c>
      <c r="B179" t="s">
        <v>89</v>
      </c>
    </row>
    <row r="180" spans="1:2">
      <c r="A180" t="s">
        <v>324</v>
      </c>
      <c r="B180" t="s">
        <v>89</v>
      </c>
    </row>
    <row r="181" spans="1:2">
      <c r="A181" t="s">
        <v>325</v>
      </c>
      <c r="B181" t="s">
        <v>89</v>
      </c>
    </row>
    <row r="182" spans="1:2">
      <c r="A182" t="s">
        <v>326</v>
      </c>
      <c r="B182" t="s">
        <v>89</v>
      </c>
    </row>
    <row r="183" spans="1:2">
      <c r="A183" t="s">
        <v>327</v>
      </c>
      <c r="B183" t="s">
        <v>89</v>
      </c>
    </row>
    <row r="184" spans="1:2">
      <c r="A184" t="s">
        <v>328</v>
      </c>
      <c r="B184" t="s">
        <v>89</v>
      </c>
    </row>
    <row r="185" spans="1:2">
      <c r="A185" t="s">
        <v>329</v>
      </c>
      <c r="B185" t="s">
        <v>89</v>
      </c>
    </row>
    <row r="186" spans="1:2">
      <c r="A186" t="s">
        <v>330</v>
      </c>
      <c r="B186" t="s">
        <v>89</v>
      </c>
    </row>
    <row r="187" spans="1:2">
      <c r="A187" t="s">
        <v>331</v>
      </c>
      <c r="B187" t="s">
        <v>89</v>
      </c>
    </row>
    <row r="188" spans="1:2">
      <c r="A188" t="s">
        <v>332</v>
      </c>
      <c r="B188" t="s">
        <v>89</v>
      </c>
    </row>
    <row r="189" spans="1:2">
      <c r="A189" t="s">
        <v>333</v>
      </c>
      <c r="B189" t="s">
        <v>89</v>
      </c>
    </row>
    <row r="190" spans="1:2">
      <c r="A190" t="s">
        <v>334</v>
      </c>
      <c r="B190" t="s">
        <v>89</v>
      </c>
    </row>
    <row r="191" spans="1:2">
      <c r="A191" t="s">
        <v>335</v>
      </c>
      <c r="B191" t="s">
        <v>89</v>
      </c>
    </row>
    <row r="192" spans="1:2">
      <c r="A192" t="s">
        <v>336</v>
      </c>
      <c r="B192" t="s">
        <v>89</v>
      </c>
    </row>
    <row r="193" spans="1:2">
      <c r="A193" t="s">
        <v>337</v>
      </c>
      <c r="B193" t="s">
        <v>89</v>
      </c>
    </row>
    <row r="194" spans="1:2">
      <c r="A194" t="s">
        <v>338</v>
      </c>
      <c r="B194" t="s">
        <v>89</v>
      </c>
    </row>
    <row r="195" spans="1:2">
      <c r="A195" t="s">
        <v>339</v>
      </c>
      <c r="B195" t="s">
        <v>89</v>
      </c>
    </row>
    <row r="196" spans="1:2">
      <c r="A196" t="s">
        <v>340</v>
      </c>
      <c r="B196" t="s">
        <v>89</v>
      </c>
    </row>
    <row r="197" spans="1:2">
      <c r="A197" t="s">
        <v>341</v>
      </c>
      <c r="B197" t="s">
        <v>89</v>
      </c>
    </row>
    <row r="198" spans="1:2">
      <c r="A198" t="s">
        <v>342</v>
      </c>
      <c r="B198" t="s">
        <v>89</v>
      </c>
    </row>
    <row r="199" spans="1:2">
      <c r="A199" t="s">
        <v>343</v>
      </c>
      <c r="B199" t="s">
        <v>89</v>
      </c>
    </row>
    <row r="200" spans="1:2">
      <c r="A200" t="s">
        <v>344</v>
      </c>
      <c r="B200" t="s">
        <v>89</v>
      </c>
    </row>
    <row r="201" spans="1:2">
      <c r="A201" t="s">
        <v>345</v>
      </c>
      <c r="B201" t="s">
        <v>89</v>
      </c>
    </row>
    <row r="202" spans="1:2">
      <c r="A202" t="s">
        <v>346</v>
      </c>
      <c r="B202" t="s">
        <v>89</v>
      </c>
    </row>
    <row r="203" spans="1:2">
      <c r="A203" t="s">
        <v>347</v>
      </c>
      <c r="B203" t="s">
        <v>89</v>
      </c>
    </row>
    <row r="204" spans="1:2">
      <c r="A204" t="s">
        <v>348</v>
      </c>
      <c r="B204" t="s">
        <v>89</v>
      </c>
    </row>
    <row r="205" spans="1:2">
      <c r="A205" t="s">
        <v>349</v>
      </c>
      <c r="B205" t="s">
        <v>59</v>
      </c>
    </row>
    <row r="206" spans="1:2">
      <c r="A206" t="s">
        <v>350</v>
      </c>
      <c r="B206" t="s">
        <v>60</v>
      </c>
    </row>
    <row r="207" spans="1:2">
      <c r="A207" t="s">
        <v>351</v>
      </c>
      <c r="B207" t="s">
        <v>171</v>
      </c>
    </row>
    <row r="208" spans="1:2">
      <c r="A208" t="s">
        <v>352</v>
      </c>
      <c r="B208" t="s">
        <v>59</v>
      </c>
    </row>
    <row r="209" spans="1:2">
      <c r="A209" t="s">
        <v>353</v>
      </c>
      <c r="B209" t="s">
        <v>78</v>
      </c>
    </row>
    <row r="210" spans="1:2">
      <c r="A210" t="s">
        <v>354</v>
      </c>
      <c r="B210" t="s">
        <v>60</v>
      </c>
    </row>
    <row r="211" spans="1:2">
      <c r="A211" t="s">
        <v>355</v>
      </c>
      <c r="B211" t="s">
        <v>59</v>
      </c>
    </row>
    <row r="212" spans="1:2">
      <c r="A212" t="s">
        <v>356</v>
      </c>
      <c r="B212" t="s">
        <v>59</v>
      </c>
    </row>
    <row r="213" spans="1:2">
      <c r="A213" t="s">
        <v>357</v>
      </c>
      <c r="B213" t="s">
        <v>78</v>
      </c>
    </row>
    <row r="214" spans="1:2">
      <c r="A214" t="s">
        <v>358</v>
      </c>
      <c r="B214" t="s">
        <v>60</v>
      </c>
    </row>
    <row r="215" spans="1:2">
      <c r="A215" t="s">
        <v>359</v>
      </c>
      <c r="B215" t="s">
        <v>60</v>
      </c>
    </row>
    <row r="216" spans="1:2">
      <c r="A216" t="s">
        <v>360</v>
      </c>
      <c r="B216" t="s">
        <v>60</v>
      </c>
    </row>
    <row r="217" spans="1:2">
      <c r="A217" t="s">
        <v>361</v>
      </c>
      <c r="B217" t="s">
        <v>169</v>
      </c>
    </row>
    <row r="218" spans="1:2">
      <c r="A218" t="s">
        <v>362</v>
      </c>
      <c r="B218" t="s">
        <v>78</v>
      </c>
    </row>
    <row r="219" spans="1:2">
      <c r="A219" t="s">
        <v>363</v>
      </c>
      <c r="B219" t="s">
        <v>60</v>
      </c>
    </row>
    <row r="220" spans="1:2">
      <c r="A220" t="s">
        <v>364</v>
      </c>
      <c r="B220" t="s">
        <v>78</v>
      </c>
    </row>
    <row r="221" spans="1:2">
      <c r="A221" t="s">
        <v>365</v>
      </c>
      <c r="B221" t="s">
        <v>59</v>
      </c>
    </row>
    <row r="222" spans="1:2">
      <c r="A222" t="s">
        <v>366</v>
      </c>
      <c r="B222" t="s">
        <v>59</v>
      </c>
    </row>
    <row r="223" spans="1:2">
      <c r="A223" t="s">
        <v>367</v>
      </c>
      <c r="B223" t="s">
        <v>169</v>
      </c>
    </row>
    <row r="224" spans="1:2">
      <c r="A224" t="s">
        <v>368</v>
      </c>
      <c r="B224" t="s">
        <v>63</v>
      </c>
    </row>
    <row r="225" spans="1:2">
      <c r="A225" t="s">
        <v>369</v>
      </c>
      <c r="B225" t="s">
        <v>78</v>
      </c>
    </row>
    <row r="226" spans="1:2">
      <c r="A226" t="s">
        <v>370</v>
      </c>
      <c r="B226" t="s">
        <v>78</v>
      </c>
    </row>
    <row r="227" spans="1:2">
      <c r="A227" t="s">
        <v>371</v>
      </c>
      <c r="B227" t="s">
        <v>59</v>
      </c>
    </row>
    <row r="228" spans="1:2">
      <c r="A228" t="s">
        <v>372</v>
      </c>
      <c r="B228" t="s">
        <v>171</v>
      </c>
    </row>
    <row r="229" spans="1:2">
      <c r="A229" t="s">
        <v>373</v>
      </c>
      <c r="B229" t="s">
        <v>78</v>
      </c>
    </row>
    <row r="230" spans="1:2">
      <c r="A230" t="s">
        <v>374</v>
      </c>
      <c r="B230" t="s">
        <v>171</v>
      </c>
    </row>
    <row r="231" spans="1:2">
      <c r="A231" t="s">
        <v>375</v>
      </c>
      <c r="B231" t="s">
        <v>169</v>
      </c>
    </row>
    <row r="232" spans="1:2">
      <c r="A232" t="s">
        <v>376</v>
      </c>
      <c r="B232" t="s">
        <v>169</v>
      </c>
    </row>
    <row r="233" spans="1:2">
      <c r="A233" t="s">
        <v>377</v>
      </c>
      <c r="B233" t="s">
        <v>171</v>
      </c>
    </row>
    <row r="234" spans="1:2">
      <c r="A234" t="s">
        <v>378</v>
      </c>
      <c r="B234" t="s">
        <v>60</v>
      </c>
    </row>
    <row r="235" spans="1:2">
      <c r="A235" t="s">
        <v>379</v>
      </c>
      <c r="B235" t="s">
        <v>169</v>
      </c>
    </row>
    <row r="236" spans="1:2">
      <c r="A236" t="s">
        <v>380</v>
      </c>
      <c r="B236" t="s">
        <v>171</v>
      </c>
    </row>
    <row r="237" spans="1:2">
      <c r="A237" t="s">
        <v>381</v>
      </c>
      <c r="B237" t="s">
        <v>169</v>
      </c>
    </row>
    <row r="238" spans="1:2">
      <c r="A238" t="s">
        <v>382</v>
      </c>
      <c r="B238" t="s">
        <v>63</v>
      </c>
    </row>
    <row r="239" spans="1:2">
      <c r="A239" t="s">
        <v>383</v>
      </c>
      <c r="B239" t="s">
        <v>63</v>
      </c>
    </row>
    <row r="240" spans="1:2">
      <c r="A240" t="s">
        <v>384</v>
      </c>
      <c r="B240" t="s">
        <v>60</v>
      </c>
    </row>
    <row r="241" spans="1:2">
      <c r="A241" t="s">
        <v>385</v>
      </c>
      <c r="B241" t="s">
        <v>171</v>
      </c>
    </row>
    <row r="242" spans="1:2">
      <c r="A242" t="s">
        <v>386</v>
      </c>
      <c r="B242" t="s">
        <v>78</v>
      </c>
    </row>
    <row r="243" spans="1:2">
      <c r="A243" t="s">
        <v>387</v>
      </c>
      <c r="B243" t="s">
        <v>169</v>
      </c>
    </row>
    <row r="244" spans="1:2">
      <c r="A244" t="s">
        <v>388</v>
      </c>
      <c r="B244" t="s">
        <v>60</v>
      </c>
    </row>
    <row r="245" spans="1:2">
      <c r="A245" t="s">
        <v>389</v>
      </c>
      <c r="B245" t="s">
        <v>78</v>
      </c>
    </row>
    <row r="246" spans="1:2">
      <c r="A246" t="s">
        <v>390</v>
      </c>
      <c r="B246" t="s">
        <v>60</v>
      </c>
    </row>
    <row r="247" spans="1:2">
      <c r="A247" t="s">
        <v>391</v>
      </c>
      <c r="B247" t="s">
        <v>169</v>
      </c>
    </row>
    <row r="248" spans="1:2">
      <c r="A248" t="s">
        <v>392</v>
      </c>
      <c r="B248" t="s">
        <v>78</v>
      </c>
    </row>
    <row r="249" spans="1:2">
      <c r="A249" t="s">
        <v>393</v>
      </c>
      <c r="B249" t="s">
        <v>169</v>
      </c>
    </row>
    <row r="250" spans="1:2">
      <c r="A250" t="s">
        <v>394</v>
      </c>
      <c r="B250" t="s">
        <v>59</v>
      </c>
    </row>
    <row r="251" spans="1:2">
      <c r="A251" t="s">
        <v>395</v>
      </c>
      <c r="B251" t="s">
        <v>63</v>
      </c>
    </row>
    <row r="252" spans="1:2">
      <c r="A252" t="s">
        <v>396</v>
      </c>
      <c r="B252" t="s">
        <v>171</v>
      </c>
    </row>
    <row r="253" spans="1:2">
      <c r="A253" t="s">
        <v>397</v>
      </c>
      <c r="B253" t="s">
        <v>78</v>
      </c>
    </row>
    <row r="254" spans="1:2">
      <c r="A254" t="s">
        <v>398</v>
      </c>
      <c r="B254" t="s">
        <v>169</v>
      </c>
    </row>
    <row r="255" spans="1:2">
      <c r="A255" t="s">
        <v>399</v>
      </c>
      <c r="B255" t="s">
        <v>171</v>
      </c>
    </row>
    <row r="256" spans="1:2">
      <c r="A256" t="s">
        <v>400</v>
      </c>
      <c r="B256" t="s">
        <v>78</v>
      </c>
    </row>
    <row r="257" spans="1:2">
      <c r="A257" t="s">
        <v>401</v>
      </c>
      <c r="B257" t="s">
        <v>78</v>
      </c>
    </row>
    <row r="258" spans="1:2">
      <c r="A258" t="s">
        <v>402</v>
      </c>
      <c r="B258" t="s">
        <v>60</v>
      </c>
    </row>
    <row r="259" spans="1:2">
      <c r="A259" t="s">
        <v>403</v>
      </c>
      <c r="B259" t="s">
        <v>78</v>
      </c>
    </row>
    <row r="260" spans="1:2">
      <c r="A260" t="s">
        <v>404</v>
      </c>
      <c r="B260" t="s">
        <v>78</v>
      </c>
    </row>
    <row r="261" spans="1:2">
      <c r="A261" t="s">
        <v>405</v>
      </c>
      <c r="B261" t="s">
        <v>78</v>
      </c>
    </row>
    <row r="262" spans="1:2">
      <c r="A262" t="s">
        <v>406</v>
      </c>
      <c r="B262" t="s">
        <v>78</v>
      </c>
    </row>
    <row r="263" spans="1:2">
      <c r="A263" t="s">
        <v>407</v>
      </c>
      <c r="B263" t="s">
        <v>78</v>
      </c>
    </row>
    <row r="264" spans="1:2">
      <c r="A264" t="s">
        <v>408</v>
      </c>
      <c r="B264" t="s">
        <v>60</v>
      </c>
    </row>
    <row r="265" spans="1:2">
      <c r="A265" t="s">
        <v>409</v>
      </c>
      <c r="B265" t="s">
        <v>78</v>
      </c>
    </row>
    <row r="266" spans="1:2">
      <c r="A266" t="s">
        <v>410</v>
      </c>
      <c r="B266" t="s">
        <v>78</v>
      </c>
    </row>
    <row r="267" spans="1:2">
      <c r="A267" t="s">
        <v>411</v>
      </c>
      <c r="B267" t="s">
        <v>78</v>
      </c>
    </row>
    <row r="268" spans="1:2">
      <c r="A268" t="s">
        <v>412</v>
      </c>
      <c r="B268" t="s">
        <v>78</v>
      </c>
    </row>
    <row r="269" spans="1:2">
      <c r="A269" t="s">
        <v>413</v>
      </c>
      <c r="B269" t="s">
        <v>78</v>
      </c>
    </row>
    <row r="270" spans="1:2">
      <c r="A270" t="s">
        <v>414</v>
      </c>
      <c r="B270" t="s">
        <v>78</v>
      </c>
    </row>
    <row r="271" spans="1:2">
      <c r="A271" t="s">
        <v>415</v>
      </c>
      <c r="B271" t="s">
        <v>78</v>
      </c>
    </row>
    <row r="272" spans="1:2">
      <c r="A272" t="s">
        <v>416</v>
      </c>
      <c r="B272" t="s">
        <v>59</v>
      </c>
    </row>
    <row r="273" spans="1:2">
      <c r="A273" t="s">
        <v>417</v>
      </c>
      <c r="B273" t="s">
        <v>60</v>
      </c>
    </row>
    <row r="274" spans="1:2">
      <c r="A274" t="s">
        <v>418</v>
      </c>
      <c r="B274" t="s">
        <v>59</v>
      </c>
    </row>
    <row r="275" spans="1:2">
      <c r="A275" t="s">
        <v>419</v>
      </c>
      <c r="B275" t="s">
        <v>78</v>
      </c>
    </row>
    <row r="276" spans="1:2">
      <c r="A276" t="s">
        <v>420</v>
      </c>
      <c r="B276" t="s">
        <v>78</v>
      </c>
    </row>
    <row r="277" spans="1:2">
      <c r="A277" t="s">
        <v>421</v>
      </c>
      <c r="B277" t="s">
        <v>78</v>
      </c>
    </row>
    <row r="278" spans="1:2">
      <c r="A278" t="s">
        <v>422</v>
      </c>
      <c r="B278" t="s">
        <v>78</v>
      </c>
    </row>
    <row r="279" spans="1:2">
      <c r="A279" t="s">
        <v>423</v>
      </c>
      <c r="B279" t="s">
        <v>78</v>
      </c>
    </row>
    <row r="280" spans="1:2">
      <c r="A280" t="s">
        <v>424</v>
      </c>
      <c r="B280" t="s">
        <v>78</v>
      </c>
    </row>
    <row r="281" spans="1:2">
      <c r="A281" t="s">
        <v>425</v>
      </c>
      <c r="B281" t="s">
        <v>78</v>
      </c>
    </row>
    <row r="282" spans="1:2">
      <c r="A282" t="s">
        <v>426</v>
      </c>
      <c r="B282" t="s">
        <v>78</v>
      </c>
    </row>
    <row r="283" spans="1:2">
      <c r="A283" t="s">
        <v>427</v>
      </c>
      <c r="B283" t="s">
        <v>78</v>
      </c>
    </row>
    <row r="284" spans="1:2">
      <c r="A284" t="s">
        <v>428</v>
      </c>
      <c r="B284" t="s">
        <v>78</v>
      </c>
    </row>
    <row r="285" spans="1:2">
      <c r="A285" t="s">
        <v>429</v>
      </c>
      <c r="B285" t="s">
        <v>78</v>
      </c>
    </row>
    <row r="286" spans="1:2">
      <c r="A286" t="s">
        <v>430</v>
      </c>
      <c r="B286" t="s">
        <v>60</v>
      </c>
    </row>
    <row r="287" spans="1:2">
      <c r="A287" t="s">
        <v>431</v>
      </c>
      <c r="B287" t="s">
        <v>63</v>
      </c>
    </row>
    <row r="288" spans="1:2">
      <c r="A288" t="s">
        <v>432</v>
      </c>
      <c r="B288" t="s">
        <v>78</v>
      </c>
    </row>
    <row r="289" spans="1:2">
      <c r="A289" t="s">
        <v>433</v>
      </c>
      <c r="B289" t="s">
        <v>78</v>
      </c>
    </row>
    <row r="290" spans="1:2">
      <c r="A290" t="s">
        <v>434</v>
      </c>
      <c r="B290" t="s">
        <v>78</v>
      </c>
    </row>
    <row r="291" spans="1:2">
      <c r="A291" t="s">
        <v>435</v>
      </c>
      <c r="B291" t="s">
        <v>78</v>
      </c>
    </row>
    <row r="292" spans="1:2">
      <c r="A292" t="s">
        <v>436</v>
      </c>
      <c r="B292" t="s">
        <v>78</v>
      </c>
    </row>
    <row r="293" spans="1:2">
      <c r="A293" t="s">
        <v>437</v>
      </c>
      <c r="B293" t="s">
        <v>60</v>
      </c>
    </row>
    <row r="294" spans="1:2">
      <c r="A294" t="s">
        <v>438</v>
      </c>
      <c r="B294" t="s">
        <v>78</v>
      </c>
    </row>
    <row r="295" spans="1:2">
      <c r="A295" t="s">
        <v>439</v>
      </c>
      <c r="B295" t="s">
        <v>59</v>
      </c>
    </row>
    <row r="296" spans="1:2">
      <c r="A296" t="s">
        <v>440</v>
      </c>
      <c r="B296" t="s">
        <v>78</v>
      </c>
    </row>
    <row r="297" spans="1:2">
      <c r="A297" t="s">
        <v>441</v>
      </c>
      <c r="B297" t="s">
        <v>121</v>
      </c>
    </row>
    <row r="298" spans="1:2">
      <c r="A298" t="s">
        <v>442</v>
      </c>
      <c r="B298" t="s">
        <v>78</v>
      </c>
    </row>
    <row r="299" spans="1:2">
      <c r="A299" t="s">
        <v>443</v>
      </c>
      <c r="B299" t="s">
        <v>63</v>
      </c>
    </row>
    <row r="300" spans="1:2">
      <c r="A300" t="s">
        <v>444</v>
      </c>
      <c r="B300" t="s">
        <v>171</v>
      </c>
    </row>
    <row r="301" spans="1:2">
      <c r="A301" t="s">
        <v>445</v>
      </c>
      <c r="B301" t="s">
        <v>78</v>
      </c>
    </row>
    <row r="302" spans="1:2">
      <c r="A302" t="s">
        <v>446</v>
      </c>
      <c r="B302" t="s">
        <v>60</v>
      </c>
    </row>
    <row r="303" spans="1:2">
      <c r="A303" t="s">
        <v>447</v>
      </c>
      <c r="B303" t="s">
        <v>116</v>
      </c>
    </row>
    <row r="304" spans="1:2">
      <c r="A304" t="s">
        <v>448</v>
      </c>
      <c r="B304" t="s">
        <v>116</v>
      </c>
    </row>
    <row r="305" spans="1:2">
      <c r="A305" t="s">
        <v>449</v>
      </c>
      <c r="B305" t="s">
        <v>116</v>
      </c>
    </row>
    <row r="306" spans="1:2">
      <c r="A306" t="s">
        <v>450</v>
      </c>
      <c r="B306" t="s">
        <v>60</v>
      </c>
    </row>
    <row r="307" spans="1:2">
      <c r="A307" t="s">
        <v>451</v>
      </c>
      <c r="B307" t="s">
        <v>121</v>
      </c>
    </row>
    <row r="308" spans="1:2">
      <c r="A308" t="s">
        <v>452</v>
      </c>
      <c r="B308" t="s">
        <v>171</v>
      </c>
    </row>
    <row r="309" spans="1:2">
      <c r="A309" t="s">
        <v>453</v>
      </c>
      <c r="B309" t="s">
        <v>78</v>
      </c>
    </row>
    <row r="310" spans="1:2">
      <c r="A310" t="s">
        <v>454</v>
      </c>
      <c r="B310" t="s">
        <v>60</v>
      </c>
    </row>
    <row r="311" spans="1:2">
      <c r="A311" t="s">
        <v>455</v>
      </c>
      <c r="B311" t="s">
        <v>131</v>
      </c>
    </row>
    <row r="312" spans="1:2">
      <c r="A312" t="s">
        <v>456</v>
      </c>
      <c r="B312" t="s">
        <v>116</v>
      </c>
    </row>
    <row r="313" spans="1:2">
      <c r="A313" t="s">
        <v>457</v>
      </c>
      <c r="B313" t="s">
        <v>78</v>
      </c>
    </row>
    <row r="314" spans="1:2">
      <c r="A314" t="s">
        <v>458</v>
      </c>
      <c r="B314" t="s">
        <v>169</v>
      </c>
    </row>
    <row r="315" spans="1:2">
      <c r="A315" t="s">
        <v>459</v>
      </c>
      <c r="B315" t="s">
        <v>78</v>
      </c>
    </row>
    <row r="316" spans="1:2">
      <c r="A316" t="s">
        <v>460</v>
      </c>
      <c r="B316" t="s">
        <v>63</v>
      </c>
    </row>
    <row r="317" spans="1:2">
      <c r="A317" t="s">
        <v>461</v>
      </c>
      <c r="B317" t="s">
        <v>78</v>
      </c>
    </row>
    <row r="318" spans="1:2">
      <c r="A318" t="s">
        <v>462</v>
      </c>
      <c r="B318" t="s">
        <v>78</v>
      </c>
    </row>
    <row r="319" spans="1:2">
      <c r="A319" t="s">
        <v>463</v>
      </c>
      <c r="B319" t="s">
        <v>78</v>
      </c>
    </row>
    <row r="320" spans="1:2">
      <c r="A320" t="s">
        <v>464</v>
      </c>
      <c r="B320" t="s">
        <v>116</v>
      </c>
    </row>
    <row r="321" spans="1:2">
      <c r="A321" t="s">
        <v>465</v>
      </c>
      <c r="B321" t="s">
        <v>78</v>
      </c>
    </row>
    <row r="322" spans="1:2">
      <c r="A322" t="s">
        <v>466</v>
      </c>
      <c r="B322" t="s">
        <v>171</v>
      </c>
    </row>
    <row r="323" spans="1:2">
      <c r="A323" t="s">
        <v>467</v>
      </c>
      <c r="B323" t="s">
        <v>116</v>
      </c>
    </row>
    <row r="324" spans="1:2">
      <c r="A324" t="s">
        <v>468</v>
      </c>
      <c r="B324" t="s">
        <v>78</v>
      </c>
    </row>
    <row r="325" spans="1:2">
      <c r="A325" t="s">
        <v>469</v>
      </c>
      <c r="B325" t="s">
        <v>169</v>
      </c>
    </row>
    <row r="326" spans="1:2">
      <c r="A326" t="s">
        <v>470</v>
      </c>
      <c r="B326" t="s">
        <v>78</v>
      </c>
    </row>
    <row r="327" spans="1:2">
      <c r="A327" t="s">
        <v>471</v>
      </c>
      <c r="B327" t="s">
        <v>171</v>
      </c>
    </row>
    <row r="328" spans="1:2">
      <c r="A328" t="s">
        <v>472</v>
      </c>
      <c r="B328" t="s">
        <v>78</v>
      </c>
    </row>
    <row r="329" spans="1:2">
      <c r="A329" t="s">
        <v>473</v>
      </c>
      <c r="B329" t="s">
        <v>116</v>
      </c>
    </row>
    <row r="330" spans="1:2">
      <c r="A330" t="s">
        <v>474</v>
      </c>
      <c r="B330" t="s">
        <v>63</v>
      </c>
    </row>
    <row r="331" spans="1:2">
      <c r="A331" t="s">
        <v>475</v>
      </c>
      <c r="B331" t="s">
        <v>78</v>
      </c>
    </row>
    <row r="332" spans="1:2">
      <c r="A332" t="s">
        <v>476</v>
      </c>
      <c r="B332" t="s">
        <v>78</v>
      </c>
    </row>
    <row r="333" spans="1:2">
      <c r="A333" t="s">
        <v>477</v>
      </c>
      <c r="B333" t="s">
        <v>59</v>
      </c>
    </row>
    <row r="334" spans="1:2">
      <c r="A334" t="s">
        <v>478</v>
      </c>
      <c r="B334" t="s">
        <v>78</v>
      </c>
    </row>
    <row r="335" spans="1:2">
      <c r="A335" t="s">
        <v>479</v>
      </c>
      <c r="B335" t="s">
        <v>116</v>
      </c>
    </row>
    <row r="336" spans="1:2">
      <c r="A336" t="s">
        <v>480</v>
      </c>
      <c r="B336" t="s">
        <v>78</v>
      </c>
    </row>
    <row r="337" spans="1:2">
      <c r="A337" t="s">
        <v>481</v>
      </c>
      <c r="B337" t="s">
        <v>78</v>
      </c>
    </row>
    <row r="338" spans="1:2">
      <c r="A338" t="s">
        <v>482</v>
      </c>
      <c r="B338" t="s">
        <v>78</v>
      </c>
    </row>
    <row r="339" spans="1:2">
      <c r="A339" t="s">
        <v>483</v>
      </c>
      <c r="B339" t="s">
        <v>78</v>
      </c>
    </row>
    <row r="340" spans="1:2">
      <c r="A340" t="s">
        <v>484</v>
      </c>
      <c r="B340" t="s">
        <v>116</v>
      </c>
    </row>
    <row r="341" spans="1:2">
      <c r="A341" t="s">
        <v>485</v>
      </c>
      <c r="B341" t="s">
        <v>121</v>
      </c>
    </row>
    <row r="342" spans="1:2">
      <c r="A342" t="s">
        <v>486</v>
      </c>
      <c r="B342" t="s">
        <v>78</v>
      </c>
    </row>
    <row r="343" spans="1:2">
      <c r="A343" t="s">
        <v>487</v>
      </c>
      <c r="B343" t="s">
        <v>116</v>
      </c>
    </row>
    <row r="344" spans="1:2">
      <c r="A344" t="s">
        <v>488</v>
      </c>
      <c r="B344" t="s">
        <v>78</v>
      </c>
    </row>
    <row r="345" spans="1:2">
      <c r="A345" t="s">
        <v>489</v>
      </c>
      <c r="B345" t="s">
        <v>63</v>
      </c>
    </row>
    <row r="346" spans="1:2">
      <c r="A346" t="s">
        <v>490</v>
      </c>
      <c r="B346" t="s">
        <v>78</v>
      </c>
    </row>
    <row r="347" spans="1:2">
      <c r="A347" t="s">
        <v>491</v>
      </c>
      <c r="B347" t="s">
        <v>162</v>
      </c>
    </row>
    <row r="348" spans="1:2">
      <c r="A348" t="s">
        <v>492</v>
      </c>
      <c r="B348" t="s">
        <v>144</v>
      </c>
    </row>
    <row r="349" spans="1:2">
      <c r="A349" t="s">
        <v>493</v>
      </c>
      <c r="B349" t="s">
        <v>121</v>
      </c>
    </row>
    <row r="350" spans="1:2">
      <c r="A350" t="s">
        <v>494</v>
      </c>
      <c r="B350" t="s">
        <v>63</v>
      </c>
    </row>
    <row r="351" spans="1:2">
      <c r="A351" t="s">
        <v>495</v>
      </c>
      <c r="B351" t="s">
        <v>142</v>
      </c>
    </row>
    <row r="352" spans="1:2">
      <c r="A352" t="s">
        <v>496</v>
      </c>
      <c r="B352" t="s">
        <v>121</v>
      </c>
    </row>
    <row r="353" spans="1:2">
      <c r="A353" t="s">
        <v>497</v>
      </c>
      <c r="B353" t="s">
        <v>171</v>
      </c>
    </row>
    <row r="354" spans="1:2">
      <c r="A354" t="s">
        <v>498</v>
      </c>
      <c r="B354" t="s">
        <v>63</v>
      </c>
    </row>
    <row r="355" spans="1:2">
      <c r="A355" t="s">
        <v>499</v>
      </c>
      <c r="B355" t="s">
        <v>78</v>
      </c>
    </row>
    <row r="356" spans="1:2">
      <c r="A356" t="s">
        <v>500</v>
      </c>
      <c r="B356" t="s">
        <v>63</v>
      </c>
    </row>
    <row r="357" spans="1:2">
      <c r="A357" t="s">
        <v>501</v>
      </c>
      <c r="B357" t="s">
        <v>142</v>
      </c>
    </row>
    <row r="358" spans="1:2">
      <c r="A358" t="s">
        <v>502</v>
      </c>
      <c r="B358" t="s">
        <v>63</v>
      </c>
    </row>
    <row r="359" spans="1:2">
      <c r="A359" t="s">
        <v>503</v>
      </c>
      <c r="B359" t="s">
        <v>121</v>
      </c>
    </row>
    <row r="360" spans="1:2">
      <c r="A360" t="s">
        <v>504</v>
      </c>
      <c r="B360" t="s">
        <v>121</v>
      </c>
    </row>
    <row r="361" spans="1:2">
      <c r="A361" t="s">
        <v>505</v>
      </c>
      <c r="B361" t="s">
        <v>63</v>
      </c>
    </row>
    <row r="362" spans="1:2">
      <c r="A362" t="s">
        <v>506</v>
      </c>
      <c r="B362" t="s">
        <v>78</v>
      </c>
    </row>
    <row r="363" spans="1:2">
      <c r="A363" t="s">
        <v>507</v>
      </c>
      <c r="B363" t="s">
        <v>78</v>
      </c>
    </row>
    <row r="364" spans="1:2">
      <c r="A364" t="s">
        <v>508</v>
      </c>
      <c r="B364" t="s">
        <v>63</v>
      </c>
    </row>
    <row r="365" spans="1:2">
      <c r="A365" t="s">
        <v>509</v>
      </c>
      <c r="B365" t="s">
        <v>59</v>
      </c>
    </row>
    <row r="366" spans="1:2">
      <c r="A366" t="s">
        <v>510</v>
      </c>
      <c r="B366" t="s">
        <v>113</v>
      </c>
    </row>
    <row r="367" spans="1:2">
      <c r="A367" t="s">
        <v>511</v>
      </c>
      <c r="B367" t="s">
        <v>78</v>
      </c>
    </row>
    <row r="368" spans="1:2">
      <c r="A368" t="s">
        <v>512</v>
      </c>
      <c r="B368" t="s">
        <v>78</v>
      </c>
    </row>
    <row r="369" spans="1:2">
      <c r="A369" t="s">
        <v>513</v>
      </c>
      <c r="B369" t="s">
        <v>121</v>
      </c>
    </row>
    <row r="370" spans="1:2">
      <c r="A370" t="s">
        <v>514</v>
      </c>
      <c r="B370" t="s">
        <v>63</v>
      </c>
    </row>
    <row r="371" spans="1:2">
      <c r="A371" t="s">
        <v>515</v>
      </c>
      <c r="B371" t="s">
        <v>63</v>
      </c>
    </row>
    <row r="372" spans="1:2">
      <c r="A372" t="s">
        <v>516</v>
      </c>
      <c r="B372" t="s">
        <v>78</v>
      </c>
    </row>
    <row r="373" spans="1:2">
      <c r="A373" t="s">
        <v>517</v>
      </c>
      <c r="B373" t="s">
        <v>78</v>
      </c>
    </row>
    <row r="374" spans="1:2">
      <c r="A374" t="s">
        <v>518</v>
      </c>
      <c r="B374" t="s">
        <v>63</v>
      </c>
    </row>
    <row r="375" spans="1:2">
      <c r="A375" t="s">
        <v>519</v>
      </c>
      <c r="B375" t="s">
        <v>113</v>
      </c>
    </row>
    <row r="376" spans="1:2">
      <c r="A376" t="s">
        <v>520</v>
      </c>
      <c r="B376" t="s">
        <v>121</v>
      </c>
    </row>
    <row r="377" spans="1:2">
      <c r="A377" t="s">
        <v>521</v>
      </c>
      <c r="B377" t="s">
        <v>63</v>
      </c>
    </row>
    <row r="378" spans="1:2">
      <c r="A378" t="s">
        <v>522</v>
      </c>
      <c r="B378" t="s">
        <v>63</v>
      </c>
    </row>
    <row r="379" spans="1:2">
      <c r="A379" t="s">
        <v>523</v>
      </c>
      <c r="B379" t="s">
        <v>63</v>
      </c>
    </row>
    <row r="380" spans="1:2">
      <c r="A380" t="s">
        <v>524</v>
      </c>
      <c r="B380" t="s">
        <v>78</v>
      </c>
    </row>
    <row r="381" spans="1:2">
      <c r="A381" t="s">
        <v>525</v>
      </c>
      <c r="B381" t="s">
        <v>63</v>
      </c>
    </row>
    <row r="382" spans="1:2">
      <c r="A382" t="s">
        <v>526</v>
      </c>
      <c r="B382" t="s">
        <v>78</v>
      </c>
    </row>
    <row r="383" spans="1:2">
      <c r="A383" t="s">
        <v>527</v>
      </c>
      <c r="B383" t="s">
        <v>63</v>
      </c>
    </row>
    <row r="384" spans="1:2">
      <c r="A384" t="s">
        <v>528</v>
      </c>
      <c r="B384" t="s">
        <v>78</v>
      </c>
    </row>
    <row r="385" spans="1:2">
      <c r="A385" t="s">
        <v>529</v>
      </c>
      <c r="B385" t="s">
        <v>78</v>
      </c>
    </row>
    <row r="386" spans="1:2">
      <c r="A386" t="s">
        <v>530</v>
      </c>
      <c r="B386" t="s">
        <v>63</v>
      </c>
    </row>
    <row r="387" spans="1:2">
      <c r="A387" t="s">
        <v>531</v>
      </c>
      <c r="B387" t="s">
        <v>63</v>
      </c>
    </row>
    <row r="388" spans="1:2">
      <c r="A388" t="s">
        <v>532</v>
      </c>
      <c r="B388" t="s">
        <v>63</v>
      </c>
    </row>
    <row r="389" spans="1:2">
      <c r="A389" t="s">
        <v>533</v>
      </c>
      <c r="B389" t="s">
        <v>63</v>
      </c>
    </row>
    <row r="390" spans="1:2">
      <c r="A390" t="s">
        <v>534</v>
      </c>
      <c r="B390" t="s">
        <v>59</v>
      </c>
    </row>
    <row r="391" spans="1:2">
      <c r="A391" t="s">
        <v>535</v>
      </c>
      <c r="B391" t="s">
        <v>63</v>
      </c>
    </row>
    <row r="392" spans="1:2">
      <c r="A392" t="s">
        <v>536</v>
      </c>
      <c r="B392" t="s">
        <v>78</v>
      </c>
    </row>
    <row r="393" spans="1:2">
      <c r="A393" t="s">
        <v>537</v>
      </c>
      <c r="B393" t="s">
        <v>63</v>
      </c>
    </row>
    <row r="394" spans="1:2">
      <c r="A394" t="s">
        <v>538</v>
      </c>
      <c r="B394" t="s">
        <v>63</v>
      </c>
    </row>
    <row r="395" spans="1:2">
      <c r="A395" t="s">
        <v>539</v>
      </c>
      <c r="B395" t="s">
        <v>63</v>
      </c>
    </row>
    <row r="396" spans="1:2">
      <c r="A396" t="s">
        <v>540</v>
      </c>
      <c r="B396" t="s">
        <v>63</v>
      </c>
    </row>
    <row r="397" spans="1:2">
      <c r="A397" t="s">
        <v>541</v>
      </c>
      <c r="B397" t="s">
        <v>113</v>
      </c>
    </row>
    <row r="398" spans="1:2">
      <c r="A398" t="s">
        <v>542</v>
      </c>
      <c r="B398" t="s">
        <v>162</v>
      </c>
    </row>
    <row r="399" spans="1:2">
      <c r="A399" t="s">
        <v>543</v>
      </c>
      <c r="B399" t="s">
        <v>63</v>
      </c>
    </row>
    <row r="400" spans="1:2">
      <c r="A400" t="s">
        <v>544</v>
      </c>
      <c r="B400" t="s">
        <v>63</v>
      </c>
    </row>
    <row r="401" spans="1:2">
      <c r="A401" t="s">
        <v>545</v>
      </c>
      <c r="B401" t="s">
        <v>112</v>
      </c>
    </row>
    <row r="402" spans="1:2">
      <c r="A402" t="s">
        <v>546</v>
      </c>
      <c r="B402" t="s">
        <v>63</v>
      </c>
    </row>
    <row r="403" spans="1:2">
      <c r="A403" t="s">
        <v>547</v>
      </c>
      <c r="B403" t="s">
        <v>169</v>
      </c>
    </row>
    <row r="404" spans="1:2">
      <c r="A404" t="s">
        <v>548</v>
      </c>
      <c r="B404" t="s">
        <v>63</v>
      </c>
    </row>
    <row r="405" spans="1:2">
      <c r="A405" t="s">
        <v>549</v>
      </c>
      <c r="B405" t="s">
        <v>63</v>
      </c>
    </row>
    <row r="406" spans="1:2">
      <c r="A406" t="s">
        <v>550</v>
      </c>
      <c r="B406" t="s">
        <v>63</v>
      </c>
    </row>
    <row r="407" spans="1:2">
      <c r="A407" t="s">
        <v>551</v>
      </c>
      <c r="B407" t="s">
        <v>113</v>
      </c>
    </row>
    <row r="408" spans="1:2">
      <c r="A408" t="s">
        <v>552</v>
      </c>
      <c r="B408" t="s">
        <v>113</v>
      </c>
    </row>
    <row r="409" spans="1:2">
      <c r="A409" t="s">
        <v>553</v>
      </c>
      <c r="B409" t="s">
        <v>63</v>
      </c>
    </row>
    <row r="410" spans="1:2">
      <c r="A410" t="s">
        <v>554</v>
      </c>
      <c r="B410" t="s">
        <v>113</v>
      </c>
    </row>
    <row r="411" spans="1:2">
      <c r="A411" t="s">
        <v>555</v>
      </c>
      <c r="B411" t="s">
        <v>63</v>
      </c>
    </row>
    <row r="412" spans="1:2">
      <c r="A412" t="s">
        <v>556</v>
      </c>
      <c r="B412" t="s">
        <v>63</v>
      </c>
    </row>
    <row r="413" spans="1:2">
      <c r="A413" t="s">
        <v>557</v>
      </c>
      <c r="B413" t="s">
        <v>150</v>
      </c>
    </row>
    <row r="414" spans="1:2">
      <c r="A414" t="s">
        <v>558</v>
      </c>
      <c r="B414" t="s">
        <v>112</v>
      </c>
    </row>
    <row r="415" spans="1:2">
      <c r="A415" t="s">
        <v>559</v>
      </c>
      <c r="B415" t="s">
        <v>112</v>
      </c>
    </row>
    <row r="416" spans="1:2">
      <c r="A416" t="s">
        <v>560</v>
      </c>
      <c r="B416" t="s">
        <v>112</v>
      </c>
    </row>
    <row r="417" spans="1:2">
      <c r="A417" t="s">
        <v>561</v>
      </c>
      <c r="B417" t="s">
        <v>125</v>
      </c>
    </row>
    <row r="418" spans="1:2">
      <c r="A418" t="s">
        <v>562</v>
      </c>
      <c r="B418" t="s">
        <v>171</v>
      </c>
    </row>
    <row r="419" spans="1:2">
      <c r="A419" t="s">
        <v>563</v>
      </c>
      <c r="B419" t="s">
        <v>63</v>
      </c>
    </row>
    <row r="420" spans="1:2">
      <c r="A420" t="s">
        <v>564</v>
      </c>
      <c r="B420" t="s">
        <v>63</v>
      </c>
    </row>
    <row r="421" spans="1:2">
      <c r="A421" t="s">
        <v>565</v>
      </c>
      <c r="B421" t="s">
        <v>125</v>
      </c>
    </row>
    <row r="422" spans="1:2">
      <c r="A422" t="s">
        <v>566</v>
      </c>
      <c r="B422" t="s">
        <v>125</v>
      </c>
    </row>
    <row r="423" spans="1:2">
      <c r="A423" t="s">
        <v>567</v>
      </c>
      <c r="B423" t="s">
        <v>125</v>
      </c>
    </row>
    <row r="424" spans="1:2">
      <c r="A424" t="s">
        <v>568</v>
      </c>
      <c r="B424" t="s">
        <v>63</v>
      </c>
    </row>
    <row r="425" spans="1:2">
      <c r="A425" t="s">
        <v>569</v>
      </c>
      <c r="B425" t="s">
        <v>63</v>
      </c>
    </row>
    <row r="426" spans="1:2">
      <c r="A426" t="s">
        <v>570</v>
      </c>
      <c r="B426" t="s">
        <v>125</v>
      </c>
    </row>
    <row r="427" spans="1:2">
      <c r="A427" t="s">
        <v>571</v>
      </c>
      <c r="B427" t="s">
        <v>125</v>
      </c>
    </row>
    <row r="428" spans="1:2">
      <c r="A428" t="s">
        <v>572</v>
      </c>
      <c r="B428" t="s">
        <v>125</v>
      </c>
    </row>
    <row r="429" spans="1:2">
      <c r="A429" t="s">
        <v>573</v>
      </c>
      <c r="B429" t="s">
        <v>125</v>
      </c>
    </row>
    <row r="430" spans="1:2">
      <c r="A430" t="s">
        <v>574</v>
      </c>
      <c r="B430" t="s">
        <v>125</v>
      </c>
    </row>
    <row r="431" spans="1:2">
      <c r="A431" t="s">
        <v>575</v>
      </c>
      <c r="B431" t="s">
        <v>125</v>
      </c>
    </row>
    <row r="432" spans="1:2">
      <c r="A432" t="s">
        <v>576</v>
      </c>
      <c r="B432" t="s">
        <v>125</v>
      </c>
    </row>
    <row r="433" spans="1:2">
      <c r="A433" t="s">
        <v>577</v>
      </c>
      <c r="B433" t="s">
        <v>78</v>
      </c>
    </row>
    <row r="434" spans="1:2">
      <c r="A434" t="s">
        <v>578</v>
      </c>
      <c r="B434" t="s">
        <v>63</v>
      </c>
    </row>
    <row r="435" spans="1:2">
      <c r="A435" t="s">
        <v>579</v>
      </c>
      <c r="B435" t="s">
        <v>63</v>
      </c>
    </row>
    <row r="436" spans="1:2">
      <c r="A436" t="s">
        <v>580</v>
      </c>
      <c r="B436" t="s">
        <v>63</v>
      </c>
    </row>
    <row r="437" spans="1:2">
      <c r="A437" t="s">
        <v>581</v>
      </c>
      <c r="B437" t="s">
        <v>59</v>
      </c>
    </row>
    <row r="438" spans="1:2">
      <c r="A438" t="s">
        <v>582</v>
      </c>
      <c r="B438" t="s">
        <v>171</v>
      </c>
    </row>
    <row r="439" spans="1:2">
      <c r="A439" t="s">
        <v>583</v>
      </c>
      <c r="B439" t="s">
        <v>63</v>
      </c>
    </row>
    <row r="440" spans="1:2">
      <c r="A440" t="s">
        <v>584</v>
      </c>
      <c r="B440" t="s">
        <v>113</v>
      </c>
    </row>
    <row r="441" spans="1:2">
      <c r="A441" t="s">
        <v>585</v>
      </c>
      <c r="B441" t="s">
        <v>78</v>
      </c>
    </row>
    <row r="442" spans="1:2">
      <c r="A442" t="s">
        <v>586</v>
      </c>
      <c r="B442" t="s">
        <v>125</v>
      </c>
    </row>
    <row r="443" spans="1:2">
      <c r="A443" t="s">
        <v>587</v>
      </c>
      <c r="B443" t="s">
        <v>137</v>
      </c>
    </row>
    <row r="444" spans="1:2">
      <c r="A444" t="s">
        <v>588</v>
      </c>
      <c r="B444" t="s">
        <v>125</v>
      </c>
    </row>
    <row r="445" spans="1:2">
      <c r="A445" t="s">
        <v>589</v>
      </c>
      <c r="B445" t="s">
        <v>135</v>
      </c>
    </row>
    <row r="446" spans="1:2">
      <c r="A446" t="s">
        <v>590</v>
      </c>
      <c r="B446" t="s">
        <v>154</v>
      </c>
    </row>
    <row r="447" spans="1:2">
      <c r="A447" t="s">
        <v>591</v>
      </c>
      <c r="B447" t="s">
        <v>176</v>
      </c>
    </row>
    <row r="448" spans="1:2">
      <c r="A448" t="s">
        <v>592</v>
      </c>
      <c r="B448" t="s">
        <v>137</v>
      </c>
    </row>
    <row r="449" spans="1:2">
      <c r="A449" t="s">
        <v>593</v>
      </c>
      <c r="B449" t="s">
        <v>176</v>
      </c>
    </row>
    <row r="450" spans="1:2">
      <c r="A450" t="s">
        <v>594</v>
      </c>
      <c r="B450" t="s">
        <v>137</v>
      </c>
    </row>
    <row r="451" spans="1:2">
      <c r="A451" t="s">
        <v>595</v>
      </c>
      <c r="B451" t="s">
        <v>125</v>
      </c>
    </row>
    <row r="452" spans="1:2">
      <c r="A452" t="s">
        <v>596</v>
      </c>
      <c r="B452" t="s">
        <v>176</v>
      </c>
    </row>
    <row r="453" spans="1:2">
      <c r="A453" t="s">
        <v>597</v>
      </c>
      <c r="B453" t="s">
        <v>176</v>
      </c>
    </row>
    <row r="454" spans="1:2">
      <c r="A454" t="s">
        <v>598</v>
      </c>
      <c r="B454" t="s">
        <v>125</v>
      </c>
    </row>
    <row r="455" spans="1:2">
      <c r="A455" t="s">
        <v>599</v>
      </c>
      <c r="B455" t="s">
        <v>135</v>
      </c>
    </row>
    <row r="456" spans="1:2">
      <c r="A456" t="s">
        <v>600</v>
      </c>
      <c r="B456" t="s">
        <v>154</v>
      </c>
    </row>
    <row r="457" spans="1:2">
      <c r="A457" t="s">
        <v>601</v>
      </c>
      <c r="B457" t="s">
        <v>176</v>
      </c>
    </row>
    <row r="458" spans="1:2">
      <c r="A458" t="s">
        <v>602</v>
      </c>
      <c r="B458" t="s">
        <v>137</v>
      </c>
    </row>
    <row r="459" spans="1:2">
      <c r="A459" t="s">
        <v>603</v>
      </c>
      <c r="B459" t="s">
        <v>125</v>
      </c>
    </row>
    <row r="460" spans="1:2">
      <c r="A460" t="s">
        <v>604</v>
      </c>
      <c r="B460" t="s">
        <v>125</v>
      </c>
    </row>
    <row r="461" spans="1:2">
      <c r="A461" t="s">
        <v>605</v>
      </c>
      <c r="B461" t="s">
        <v>125</v>
      </c>
    </row>
    <row r="462" spans="1:2">
      <c r="A462" t="s">
        <v>606</v>
      </c>
      <c r="B462" t="s">
        <v>158</v>
      </c>
    </row>
    <row r="463" spans="1:2">
      <c r="A463" t="s">
        <v>607</v>
      </c>
      <c r="B463" t="s">
        <v>176</v>
      </c>
    </row>
    <row r="464" spans="1:2">
      <c r="A464" t="s">
        <v>608</v>
      </c>
      <c r="B464" t="s">
        <v>146</v>
      </c>
    </row>
    <row r="465" spans="1:2">
      <c r="A465" t="s">
        <v>609</v>
      </c>
      <c r="B465" t="s">
        <v>125</v>
      </c>
    </row>
    <row r="466" spans="1:2">
      <c r="A466" t="s">
        <v>610</v>
      </c>
      <c r="B466" t="s">
        <v>125</v>
      </c>
    </row>
    <row r="467" spans="1:2">
      <c r="A467" t="s">
        <v>611</v>
      </c>
      <c r="B467" t="s">
        <v>125</v>
      </c>
    </row>
    <row r="468" spans="1:2">
      <c r="A468" t="s">
        <v>612</v>
      </c>
      <c r="B468" t="s">
        <v>129</v>
      </c>
    </row>
    <row r="469" spans="1:2">
      <c r="A469" t="s">
        <v>613</v>
      </c>
      <c r="B469" t="s">
        <v>129</v>
      </c>
    </row>
    <row r="470" spans="1:2">
      <c r="A470" t="s">
        <v>614</v>
      </c>
      <c r="B470" t="s">
        <v>176</v>
      </c>
    </row>
    <row r="471" spans="1:2">
      <c r="A471" t="s">
        <v>615</v>
      </c>
      <c r="B471" t="s">
        <v>125</v>
      </c>
    </row>
    <row r="472" spans="1:2">
      <c r="A472" t="s">
        <v>616</v>
      </c>
      <c r="B472" t="s">
        <v>137</v>
      </c>
    </row>
    <row r="473" spans="1:2">
      <c r="A473" t="s">
        <v>617</v>
      </c>
      <c r="B473" t="s">
        <v>129</v>
      </c>
    </row>
    <row r="474" spans="1:2">
      <c r="A474" t="s">
        <v>618</v>
      </c>
      <c r="B474" t="s">
        <v>137</v>
      </c>
    </row>
    <row r="475" spans="1:2">
      <c r="A475" t="s">
        <v>619</v>
      </c>
      <c r="B475" t="s">
        <v>125</v>
      </c>
    </row>
    <row r="476" spans="1:2">
      <c r="A476" t="s">
        <v>620</v>
      </c>
      <c r="B476" t="s">
        <v>158</v>
      </c>
    </row>
    <row r="477" spans="1:2">
      <c r="A477" t="s">
        <v>621</v>
      </c>
      <c r="B477" t="s">
        <v>125</v>
      </c>
    </row>
    <row r="478" spans="1:2">
      <c r="A478" t="s">
        <v>622</v>
      </c>
      <c r="B478" t="s">
        <v>125</v>
      </c>
    </row>
    <row r="479" spans="1:2">
      <c r="A479" t="s">
        <v>623</v>
      </c>
      <c r="B479" t="s">
        <v>176</v>
      </c>
    </row>
    <row r="480" spans="1:2">
      <c r="A480" t="s">
        <v>624</v>
      </c>
      <c r="B480" t="s">
        <v>154</v>
      </c>
    </row>
    <row r="481" spans="1:2">
      <c r="A481" t="s">
        <v>625</v>
      </c>
      <c r="B481" t="s">
        <v>176</v>
      </c>
    </row>
    <row r="482" spans="1:2">
      <c r="A482" t="s">
        <v>626</v>
      </c>
      <c r="B482" t="s">
        <v>154</v>
      </c>
    </row>
    <row r="483" spans="1:2">
      <c r="A483" t="s">
        <v>627</v>
      </c>
      <c r="B483" t="s">
        <v>137</v>
      </c>
    </row>
    <row r="484" spans="1:2">
      <c r="A484" t="s">
        <v>628</v>
      </c>
      <c r="B484" t="s">
        <v>146</v>
      </c>
    </row>
    <row r="485" spans="1:2">
      <c r="A485" t="s">
        <v>629</v>
      </c>
      <c r="B485" t="s">
        <v>129</v>
      </c>
    </row>
    <row r="486" spans="1:2">
      <c r="A486" t="s">
        <v>630</v>
      </c>
      <c r="B486" t="s">
        <v>152</v>
      </c>
    </row>
    <row r="487" spans="1:2">
      <c r="A487" t="s">
        <v>631</v>
      </c>
      <c r="B487" t="s">
        <v>140</v>
      </c>
    </row>
    <row r="488" spans="1:2">
      <c r="A488" t="s">
        <v>632</v>
      </c>
      <c r="B488" t="s">
        <v>173</v>
      </c>
    </row>
    <row r="489" spans="1:2">
      <c r="A489" t="s">
        <v>633</v>
      </c>
      <c r="B489" t="s">
        <v>129</v>
      </c>
    </row>
    <row r="490" spans="1:2">
      <c r="A490" t="s">
        <v>634</v>
      </c>
      <c r="B490" t="s">
        <v>154</v>
      </c>
    </row>
    <row r="491" spans="1:2">
      <c r="A491" t="s">
        <v>635</v>
      </c>
      <c r="B491" t="s">
        <v>129</v>
      </c>
    </row>
    <row r="492" spans="1:2">
      <c r="A492" t="s">
        <v>636</v>
      </c>
      <c r="B492" t="s">
        <v>129</v>
      </c>
    </row>
    <row r="493" spans="1:2">
      <c r="A493" t="s">
        <v>637</v>
      </c>
      <c r="B493" t="s">
        <v>129</v>
      </c>
    </row>
    <row r="494" spans="1:2">
      <c r="A494" t="s">
        <v>638</v>
      </c>
      <c r="B494" t="s">
        <v>154</v>
      </c>
    </row>
    <row r="495" spans="1:2">
      <c r="A495" t="s">
        <v>639</v>
      </c>
      <c r="B495" t="s">
        <v>154</v>
      </c>
    </row>
    <row r="496" spans="1:2">
      <c r="A496" t="s">
        <v>640</v>
      </c>
      <c r="B496" t="s">
        <v>154</v>
      </c>
    </row>
    <row r="497" spans="1:2">
      <c r="A497" t="s">
        <v>641</v>
      </c>
      <c r="B497" t="s">
        <v>129</v>
      </c>
    </row>
    <row r="498" spans="1:2">
      <c r="A498" t="s">
        <v>642</v>
      </c>
      <c r="B498" t="s">
        <v>158</v>
      </c>
    </row>
    <row r="499" spans="1:2">
      <c r="A499" t="s">
        <v>643</v>
      </c>
      <c r="B499" t="s">
        <v>135</v>
      </c>
    </row>
    <row r="500" spans="1:2">
      <c r="A500" t="s">
        <v>644</v>
      </c>
      <c r="B500" t="s">
        <v>176</v>
      </c>
    </row>
    <row r="501" spans="1:2">
      <c r="A501" t="s">
        <v>645</v>
      </c>
      <c r="B501" t="s">
        <v>176</v>
      </c>
    </row>
    <row r="502" spans="1:2">
      <c r="A502" t="s">
        <v>646</v>
      </c>
      <c r="B502" t="s">
        <v>154</v>
      </c>
    </row>
    <row r="503" spans="1:2">
      <c r="A503" t="s">
        <v>647</v>
      </c>
      <c r="B503" t="s">
        <v>176</v>
      </c>
    </row>
    <row r="504" spans="1:2">
      <c r="A504" t="s">
        <v>648</v>
      </c>
      <c r="B504" t="s">
        <v>135</v>
      </c>
    </row>
    <row r="505" spans="1:2">
      <c r="A505" t="s">
        <v>649</v>
      </c>
      <c r="B505" t="s">
        <v>125</v>
      </c>
    </row>
    <row r="506" spans="1:2">
      <c r="A506" t="s">
        <v>650</v>
      </c>
      <c r="B506" t="s">
        <v>146</v>
      </c>
    </row>
    <row r="507" spans="1:2">
      <c r="A507" t="s">
        <v>651</v>
      </c>
      <c r="B507" t="s">
        <v>129</v>
      </c>
    </row>
    <row r="508" spans="1:2">
      <c r="A508" t="s">
        <v>652</v>
      </c>
      <c r="B508" t="s">
        <v>176</v>
      </c>
    </row>
    <row r="509" spans="1:2">
      <c r="A509" t="s">
        <v>653</v>
      </c>
      <c r="B509" t="s">
        <v>129</v>
      </c>
    </row>
    <row r="510" spans="1:2">
      <c r="A510" t="s">
        <v>654</v>
      </c>
      <c r="B510" t="s">
        <v>125</v>
      </c>
    </row>
    <row r="511" spans="1:2">
      <c r="A511" t="s">
        <v>655</v>
      </c>
      <c r="B511" t="s">
        <v>176</v>
      </c>
    </row>
    <row r="512" spans="1:2">
      <c r="A512" t="s">
        <v>656</v>
      </c>
      <c r="B512" t="s">
        <v>125</v>
      </c>
    </row>
    <row r="513" spans="1:2">
      <c r="A513" t="s">
        <v>657</v>
      </c>
      <c r="B513" t="s">
        <v>148</v>
      </c>
    </row>
    <row r="514" spans="1:2">
      <c r="A514" t="s">
        <v>658</v>
      </c>
      <c r="B514" t="s">
        <v>125</v>
      </c>
    </row>
    <row r="515" spans="1:2">
      <c r="A515" t="s">
        <v>659</v>
      </c>
      <c r="B515" t="s">
        <v>125</v>
      </c>
    </row>
    <row r="516" spans="1:2">
      <c r="A516" t="s">
        <v>660</v>
      </c>
      <c r="B516" t="s">
        <v>125</v>
      </c>
    </row>
    <row r="517" spans="1:2">
      <c r="A517" t="s">
        <v>661</v>
      </c>
      <c r="B517" t="s">
        <v>125</v>
      </c>
    </row>
    <row r="518" spans="1:2">
      <c r="A518" t="s">
        <v>662</v>
      </c>
      <c r="B518" t="s">
        <v>156</v>
      </c>
    </row>
    <row r="519" spans="1:2">
      <c r="A519" t="s">
        <v>663</v>
      </c>
      <c r="B519" t="s">
        <v>125</v>
      </c>
    </row>
    <row r="520" spans="1:2">
      <c r="A520" t="s">
        <v>664</v>
      </c>
      <c r="B520" t="s">
        <v>125</v>
      </c>
    </row>
    <row r="521" spans="1:2">
      <c r="A521" t="s">
        <v>665</v>
      </c>
      <c r="B521" t="s">
        <v>129</v>
      </c>
    </row>
    <row r="522" spans="1:2">
      <c r="A522" t="s">
        <v>666</v>
      </c>
      <c r="B522" t="s">
        <v>125</v>
      </c>
    </row>
    <row r="523" spans="1:2">
      <c r="A523" t="s">
        <v>667</v>
      </c>
      <c r="B523" t="s">
        <v>173</v>
      </c>
    </row>
    <row r="524" spans="1:2">
      <c r="A524" t="s">
        <v>668</v>
      </c>
      <c r="B524" t="s">
        <v>125</v>
      </c>
    </row>
    <row r="525" spans="1:2">
      <c r="A525" t="s">
        <v>669</v>
      </c>
      <c r="B525" t="s">
        <v>176</v>
      </c>
    </row>
    <row r="526" spans="1:2">
      <c r="A526" t="s">
        <v>670</v>
      </c>
      <c r="B526" t="s">
        <v>146</v>
      </c>
    </row>
    <row r="527" spans="1:2">
      <c r="A527" t="s">
        <v>671</v>
      </c>
      <c r="B527" t="s">
        <v>158</v>
      </c>
    </row>
    <row r="528" spans="1:2">
      <c r="A528" t="s">
        <v>672</v>
      </c>
      <c r="B528" t="s">
        <v>125</v>
      </c>
    </row>
    <row r="529" spans="1:2">
      <c r="A529" t="s">
        <v>673</v>
      </c>
      <c r="B529" t="s">
        <v>154</v>
      </c>
    </row>
    <row r="530" spans="1:2">
      <c r="A530" t="s">
        <v>674</v>
      </c>
      <c r="B530" t="s">
        <v>125</v>
      </c>
    </row>
    <row r="531" spans="1:2">
      <c r="A531" t="s">
        <v>675</v>
      </c>
      <c r="B531" t="s">
        <v>125</v>
      </c>
    </row>
    <row r="532" spans="1:2">
      <c r="A532" t="s">
        <v>676</v>
      </c>
      <c r="B532" t="s">
        <v>125</v>
      </c>
    </row>
    <row r="533" spans="1:2">
      <c r="A533" t="s">
        <v>677</v>
      </c>
      <c r="B533" t="s">
        <v>176</v>
      </c>
    </row>
    <row r="534" spans="1:2">
      <c r="A534" t="s">
        <v>678</v>
      </c>
      <c r="B534" t="s">
        <v>113</v>
      </c>
    </row>
    <row r="535" spans="1:2">
      <c r="A535" t="s">
        <v>679</v>
      </c>
      <c r="B535" t="s">
        <v>154</v>
      </c>
    </row>
    <row r="536" spans="1:2">
      <c r="A536" t="s">
        <v>680</v>
      </c>
      <c r="B536" t="s">
        <v>125</v>
      </c>
    </row>
    <row r="537" spans="1:2">
      <c r="A537" t="s">
        <v>681</v>
      </c>
      <c r="B537" t="s">
        <v>140</v>
      </c>
    </row>
    <row r="538" spans="1:2">
      <c r="A538" t="s">
        <v>682</v>
      </c>
      <c r="B538" t="s">
        <v>125</v>
      </c>
    </row>
    <row r="539" spans="1:2">
      <c r="A539" t="s">
        <v>683</v>
      </c>
      <c r="B539" t="s">
        <v>125</v>
      </c>
    </row>
    <row r="540" spans="1:2">
      <c r="A540" t="s">
        <v>684</v>
      </c>
      <c r="B540" t="s">
        <v>154</v>
      </c>
    </row>
    <row r="541" spans="1:2">
      <c r="A541" t="s">
        <v>685</v>
      </c>
      <c r="B541" t="s">
        <v>146</v>
      </c>
    </row>
    <row r="542" spans="1:2">
      <c r="A542" t="s">
        <v>686</v>
      </c>
      <c r="B542" t="s">
        <v>140</v>
      </c>
    </row>
    <row r="543" spans="1:2">
      <c r="A543" t="s">
        <v>687</v>
      </c>
      <c r="B543" t="s">
        <v>146</v>
      </c>
    </row>
    <row r="544" spans="1:2">
      <c r="A544" t="s">
        <v>688</v>
      </c>
      <c r="B544" t="s">
        <v>125</v>
      </c>
    </row>
    <row r="545" spans="1:2">
      <c r="A545" t="s">
        <v>689</v>
      </c>
      <c r="B545" t="s">
        <v>158</v>
      </c>
    </row>
    <row r="546" spans="1:2">
      <c r="A546" t="s">
        <v>690</v>
      </c>
      <c r="B546" t="s">
        <v>140</v>
      </c>
    </row>
    <row r="547" spans="1:2">
      <c r="A547" t="s">
        <v>691</v>
      </c>
      <c r="B547" t="s">
        <v>140</v>
      </c>
    </row>
    <row r="548" spans="1:2">
      <c r="A548" t="s">
        <v>692</v>
      </c>
      <c r="B548" t="s">
        <v>135</v>
      </c>
    </row>
    <row r="549" spans="1:2">
      <c r="A549" t="s">
        <v>693</v>
      </c>
      <c r="B549" t="s">
        <v>158</v>
      </c>
    </row>
    <row r="550" spans="1:2">
      <c r="A550" t="s">
        <v>694</v>
      </c>
      <c r="B550" t="s">
        <v>125</v>
      </c>
    </row>
    <row r="551" spans="1:2">
      <c r="A551" t="s">
        <v>695</v>
      </c>
      <c r="B551" t="s">
        <v>125</v>
      </c>
    </row>
    <row r="552" spans="1:2">
      <c r="A552" t="s">
        <v>696</v>
      </c>
      <c r="B552" t="s">
        <v>146</v>
      </c>
    </row>
    <row r="553" spans="1:2">
      <c r="A553" t="s">
        <v>697</v>
      </c>
      <c r="B553" t="s">
        <v>158</v>
      </c>
    </row>
    <row r="554" spans="1:2">
      <c r="A554" t="s">
        <v>698</v>
      </c>
      <c r="B554" t="s">
        <v>127</v>
      </c>
    </row>
    <row r="555" spans="1:2">
      <c r="A555" t="s">
        <v>699</v>
      </c>
      <c r="B555" t="s">
        <v>129</v>
      </c>
    </row>
    <row r="556" spans="1:2">
      <c r="A556" t="s">
        <v>700</v>
      </c>
      <c r="B556" t="s">
        <v>127</v>
      </c>
    </row>
    <row r="557" spans="1:2">
      <c r="A557" t="s">
        <v>701</v>
      </c>
      <c r="B557" t="s">
        <v>148</v>
      </c>
    </row>
    <row r="558" spans="1:2">
      <c r="A558" t="s">
        <v>702</v>
      </c>
      <c r="B558" t="s">
        <v>137</v>
      </c>
    </row>
    <row r="559" spans="1:2">
      <c r="A559" t="s">
        <v>703</v>
      </c>
      <c r="B559" t="s">
        <v>158</v>
      </c>
    </row>
    <row r="560" spans="1:2">
      <c r="A560" t="s">
        <v>704</v>
      </c>
      <c r="B560" t="s">
        <v>148</v>
      </c>
    </row>
    <row r="561" spans="1:2">
      <c r="A561" t="s">
        <v>705</v>
      </c>
      <c r="B561" t="s">
        <v>154</v>
      </c>
    </row>
    <row r="562" spans="1:2">
      <c r="A562" t="s">
        <v>706</v>
      </c>
      <c r="B562" t="s">
        <v>160</v>
      </c>
    </row>
    <row r="563" spans="1:2">
      <c r="A563" t="s">
        <v>707</v>
      </c>
      <c r="B563" t="s">
        <v>158</v>
      </c>
    </row>
    <row r="564" spans="1:2">
      <c r="A564" t="s">
        <v>708</v>
      </c>
      <c r="B564" t="s">
        <v>158</v>
      </c>
    </row>
    <row r="565" spans="1:2">
      <c r="A565" t="s">
        <v>709</v>
      </c>
      <c r="B565" t="s">
        <v>158</v>
      </c>
    </row>
    <row r="566" spans="1:2">
      <c r="A566" t="s">
        <v>710</v>
      </c>
      <c r="B566" t="s">
        <v>152</v>
      </c>
    </row>
    <row r="567" spans="1:2">
      <c r="A567" t="s">
        <v>711</v>
      </c>
      <c r="B567" t="s">
        <v>140</v>
      </c>
    </row>
    <row r="568" spans="1:2">
      <c r="A568" t="s">
        <v>712</v>
      </c>
      <c r="B568" t="s">
        <v>148</v>
      </c>
    </row>
    <row r="569" spans="1:2">
      <c r="A569" t="s">
        <v>713</v>
      </c>
      <c r="B569" t="s">
        <v>140</v>
      </c>
    </row>
    <row r="570" spans="1:2">
      <c r="A570" t="s">
        <v>714</v>
      </c>
      <c r="B570" t="s">
        <v>140</v>
      </c>
    </row>
    <row r="571" spans="1:2">
      <c r="A571" t="s">
        <v>715</v>
      </c>
      <c r="B571" t="s">
        <v>156</v>
      </c>
    </row>
    <row r="572" spans="1:2">
      <c r="A572" t="s">
        <v>716</v>
      </c>
      <c r="B572" t="s">
        <v>127</v>
      </c>
    </row>
    <row r="573" spans="1:2">
      <c r="A573" t="s">
        <v>717</v>
      </c>
      <c r="B573" t="s">
        <v>140</v>
      </c>
    </row>
    <row r="574" spans="1:2">
      <c r="A574" t="s">
        <v>718</v>
      </c>
      <c r="B574" t="s">
        <v>127</v>
      </c>
    </row>
    <row r="575" spans="1:2">
      <c r="A575" t="s">
        <v>719</v>
      </c>
      <c r="B575" t="s">
        <v>127</v>
      </c>
    </row>
    <row r="576" spans="1:2">
      <c r="A576" t="s">
        <v>720</v>
      </c>
      <c r="B576" t="s">
        <v>127</v>
      </c>
    </row>
    <row r="577" spans="1:2">
      <c r="A577" t="s">
        <v>721</v>
      </c>
      <c r="B577" t="s">
        <v>129</v>
      </c>
    </row>
    <row r="578" spans="1:2">
      <c r="A578" t="s">
        <v>722</v>
      </c>
      <c r="B578" t="s">
        <v>129</v>
      </c>
    </row>
    <row r="579" spans="1:2">
      <c r="A579" t="s">
        <v>723</v>
      </c>
      <c r="B579" t="s">
        <v>129</v>
      </c>
    </row>
  </sheetData>
  <mergeCells count="10">
    <mergeCell ref="M11:O11"/>
    <mergeCell ref="M12:O12"/>
    <mergeCell ref="M13:O13"/>
    <mergeCell ref="M14:O14"/>
    <mergeCell ref="M5:O5"/>
    <mergeCell ref="M6:O6"/>
    <mergeCell ref="M7:O7"/>
    <mergeCell ref="M8:O8"/>
    <mergeCell ref="M9:O9"/>
    <mergeCell ref="M10:O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D6A76-011A-4AA7-8438-957E3F4680FE}">
  <dimension ref="C4:CB69"/>
  <sheetViews>
    <sheetView showGridLines="0" topLeftCell="A44" zoomScale="55" zoomScaleNormal="55" workbookViewId="0">
      <selection activeCell="F58" sqref="F58"/>
    </sheetView>
  </sheetViews>
  <sheetFormatPr defaultColWidth="8.7109375" defaultRowHeight="15"/>
  <cols>
    <col min="1" max="1" width="3" style="1" customWidth="1"/>
    <col min="2" max="2" width="4.42578125" style="1" customWidth="1"/>
    <col min="3" max="3" width="20.140625" style="1" customWidth="1"/>
    <col min="4" max="6" width="4.7109375" style="1" customWidth="1"/>
    <col min="7" max="9" width="3.85546875" style="1" customWidth="1"/>
    <col min="10" max="12" width="4.7109375" style="1" customWidth="1"/>
    <col min="13" max="13" width="10.5703125" style="1" customWidth="1"/>
    <col min="14" max="14" width="8.42578125" style="1" customWidth="1"/>
    <col min="15" max="15" width="4.7109375" style="1" customWidth="1"/>
    <col min="16" max="16" width="5.7109375" style="1" customWidth="1"/>
    <col min="17" max="32" width="4.7109375" style="1" customWidth="1"/>
    <col min="33" max="62" width="4.5703125" style="1" customWidth="1"/>
    <col min="63" max="80" width="4.85546875" style="1" customWidth="1"/>
    <col min="81" max="16384" width="8.7109375" style="1"/>
  </cols>
  <sheetData>
    <row r="4" spans="3:80" ht="14.1" customHeight="1">
      <c r="C4" s="193" t="s">
        <v>1</v>
      </c>
      <c r="D4" s="193"/>
      <c r="E4" s="193"/>
      <c r="G4" s="196" t="s">
        <v>2</v>
      </c>
      <c r="H4" s="197"/>
      <c r="I4" s="197"/>
      <c r="J4" s="198"/>
      <c r="K4" s="196" t="s">
        <v>3</v>
      </c>
      <c r="L4" s="197"/>
      <c r="M4" s="198"/>
      <c r="N4" s="196" t="s">
        <v>4</v>
      </c>
      <c r="O4" s="197"/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  <c r="AA4" s="197"/>
      <c r="AB4" s="198"/>
      <c r="AD4" s="193" t="s">
        <v>5</v>
      </c>
      <c r="AE4" s="211"/>
      <c r="AF4" s="211"/>
      <c r="AG4" s="211"/>
      <c r="AH4" s="211"/>
      <c r="AI4" s="211"/>
      <c r="AJ4" s="211"/>
      <c r="AK4" s="211"/>
      <c r="AM4" s="225" t="s">
        <v>6</v>
      </c>
      <c r="AN4" s="221"/>
      <c r="AO4" s="221"/>
      <c r="AP4" s="221"/>
      <c r="AQ4" s="221"/>
      <c r="AR4" s="221"/>
      <c r="AS4" s="221"/>
      <c r="AT4" s="221"/>
      <c r="AU4" s="221"/>
      <c r="AV4" s="221"/>
      <c r="AW4" s="221"/>
      <c r="AX4" s="221"/>
      <c r="AY4" s="221"/>
      <c r="AZ4" s="221"/>
      <c r="BA4" s="221"/>
      <c r="BB4" s="226"/>
      <c r="BC4" s="225" t="s">
        <v>7</v>
      </c>
      <c r="BD4" s="221"/>
      <c r="BE4" s="221"/>
      <c r="BF4" s="221"/>
      <c r="BG4" s="221"/>
      <c r="BH4" s="221"/>
      <c r="BI4" s="221"/>
      <c r="BJ4" s="221"/>
      <c r="BK4" s="221"/>
      <c r="BL4" s="221"/>
      <c r="BM4" s="221"/>
      <c r="BN4" s="221"/>
      <c r="BO4" s="226"/>
      <c r="BP4" s="225" t="s">
        <v>8</v>
      </c>
      <c r="BQ4" s="221"/>
      <c r="BR4" s="221"/>
      <c r="BS4" s="221"/>
      <c r="BT4" s="221"/>
      <c r="BU4" s="221"/>
      <c r="BV4" s="221"/>
      <c r="BW4" s="221"/>
      <c r="BX4" s="221"/>
      <c r="BY4" s="221"/>
      <c r="BZ4" s="221"/>
      <c r="CA4" s="221"/>
      <c r="CB4" s="226"/>
    </row>
    <row r="5" spans="3:80" ht="14.1" customHeight="1">
      <c r="C5" s="193"/>
      <c r="D5" s="193"/>
      <c r="E5" s="193"/>
      <c r="G5" s="199"/>
      <c r="H5" s="168"/>
      <c r="I5" s="168"/>
      <c r="J5" s="200"/>
      <c r="K5" s="199"/>
      <c r="L5" s="168"/>
      <c r="M5" s="200"/>
      <c r="N5" s="199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  <c r="AA5" s="168"/>
      <c r="AB5" s="200"/>
      <c r="AD5" s="211"/>
      <c r="AE5" s="211"/>
      <c r="AF5" s="211"/>
      <c r="AG5" s="211"/>
      <c r="AH5" s="211"/>
      <c r="AI5" s="211"/>
      <c r="AJ5" s="211"/>
      <c r="AK5" s="211"/>
      <c r="AM5" s="4"/>
      <c r="AN5" s="5"/>
      <c r="AO5" s="6">
        <v>3</v>
      </c>
      <c r="AP5" s="5"/>
      <c r="AQ5" s="5"/>
      <c r="AR5" s="6">
        <v>6</v>
      </c>
      <c r="AS5" s="6">
        <v>9</v>
      </c>
      <c r="AT5" s="5"/>
      <c r="AU5" s="5"/>
      <c r="AV5" s="6">
        <v>12</v>
      </c>
      <c r="AW5" s="6">
        <v>15</v>
      </c>
      <c r="AX5" s="5"/>
      <c r="AY5" s="5"/>
      <c r="AZ5" s="6">
        <v>18</v>
      </c>
      <c r="BA5" s="5"/>
      <c r="BB5" s="7"/>
      <c r="BC5" s="4"/>
      <c r="BE5" s="2">
        <v>3</v>
      </c>
      <c r="BG5" s="2">
        <v>6</v>
      </c>
      <c r="BH5" s="2">
        <v>9</v>
      </c>
      <c r="BJ5" s="2">
        <v>12</v>
      </c>
      <c r="BK5" s="2">
        <v>15</v>
      </c>
      <c r="BM5" s="2">
        <v>18</v>
      </c>
      <c r="BO5" s="7"/>
      <c r="BP5" s="8"/>
      <c r="BQ5" s="2">
        <v>1</v>
      </c>
      <c r="BR5" s="2">
        <v>4</v>
      </c>
      <c r="BT5" s="2">
        <v>7</v>
      </c>
      <c r="BU5" s="2">
        <v>10</v>
      </c>
      <c r="BW5" s="2">
        <v>13</v>
      </c>
      <c r="BX5" s="2">
        <v>16</v>
      </c>
      <c r="BZ5" s="2">
        <v>19</v>
      </c>
      <c r="CB5" s="9"/>
    </row>
    <row r="6" spans="3:80">
      <c r="C6" s="193"/>
      <c r="D6" s="193"/>
      <c r="E6" s="193"/>
      <c r="G6" s="199"/>
      <c r="H6" s="168"/>
      <c r="I6" s="168"/>
      <c r="J6" s="200"/>
      <c r="K6" s="199"/>
      <c r="L6" s="168"/>
      <c r="M6" s="200"/>
      <c r="N6" s="199"/>
      <c r="O6" s="168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  <c r="AA6" s="168"/>
      <c r="AB6" s="200"/>
      <c r="AD6" s="211"/>
      <c r="AE6" s="211"/>
      <c r="AF6" s="211"/>
      <c r="AG6" s="211"/>
      <c r="AH6" s="211"/>
      <c r="AI6" s="211"/>
      <c r="AJ6" s="211"/>
      <c r="AK6" s="211"/>
      <c r="AM6" s="4"/>
      <c r="AN6" s="10">
        <v>1</v>
      </c>
      <c r="AO6" s="6">
        <v>4</v>
      </c>
      <c r="AP6" s="5"/>
      <c r="AQ6" s="5"/>
      <c r="AR6" s="6">
        <v>7</v>
      </c>
      <c r="AS6" s="6">
        <v>10</v>
      </c>
      <c r="AT6" s="5"/>
      <c r="AU6" s="5"/>
      <c r="AV6" s="6">
        <v>13</v>
      </c>
      <c r="AW6" s="6">
        <v>16</v>
      </c>
      <c r="AX6" s="5"/>
      <c r="AY6" s="5"/>
      <c r="AZ6" s="6">
        <v>19</v>
      </c>
      <c r="BA6" s="6">
        <v>21</v>
      </c>
      <c r="BB6" s="7"/>
      <c r="BC6" s="4"/>
      <c r="BD6" s="11">
        <v>1</v>
      </c>
      <c r="BE6" s="2">
        <v>4</v>
      </c>
      <c r="BG6" s="2">
        <v>7</v>
      </c>
      <c r="BH6" s="2">
        <v>10</v>
      </c>
      <c r="BJ6" s="2">
        <v>13</v>
      </c>
      <c r="BK6" s="2">
        <v>16</v>
      </c>
      <c r="BM6" s="2">
        <v>19</v>
      </c>
      <c r="BN6" s="2">
        <v>21</v>
      </c>
      <c r="BO6" s="7"/>
      <c r="BP6" s="8"/>
      <c r="BQ6" s="2">
        <v>2</v>
      </c>
      <c r="BR6" s="2">
        <v>5</v>
      </c>
      <c r="BT6" s="2">
        <v>8</v>
      </c>
      <c r="BU6" s="2">
        <v>11</v>
      </c>
      <c r="BW6" s="2">
        <v>14</v>
      </c>
      <c r="BX6" s="2">
        <v>17</v>
      </c>
      <c r="BZ6" s="2">
        <v>20</v>
      </c>
      <c r="CA6" s="2">
        <v>22</v>
      </c>
      <c r="CB6" s="9"/>
    </row>
    <row r="7" spans="3:80">
      <c r="C7" s="193"/>
      <c r="D7" s="193"/>
      <c r="E7" s="193"/>
      <c r="G7" s="199"/>
      <c r="H7" s="168"/>
      <c r="I7" s="168"/>
      <c r="J7" s="200"/>
      <c r="K7" s="201"/>
      <c r="L7" s="202"/>
      <c r="M7" s="203"/>
      <c r="N7" s="201"/>
      <c r="O7" s="202"/>
      <c r="P7" s="202"/>
      <c r="Q7" s="202"/>
      <c r="R7" s="202"/>
      <c r="S7" s="202"/>
      <c r="T7" s="202"/>
      <c r="U7" s="202"/>
      <c r="V7" s="202"/>
      <c r="W7" s="202"/>
      <c r="X7" s="202"/>
      <c r="Y7" s="202"/>
      <c r="Z7" s="202"/>
      <c r="AA7" s="202"/>
      <c r="AB7" s="203"/>
      <c r="AD7" s="211"/>
      <c r="AE7" s="211"/>
      <c r="AF7" s="211"/>
      <c r="AG7" s="211"/>
      <c r="AH7" s="211"/>
      <c r="AI7" s="211"/>
      <c r="AJ7" s="211"/>
      <c r="AK7" s="211"/>
      <c r="AM7" s="4"/>
      <c r="AN7" s="10">
        <v>2</v>
      </c>
      <c r="AO7" s="6">
        <v>5</v>
      </c>
      <c r="AP7" s="5"/>
      <c r="AQ7" s="5"/>
      <c r="AR7" s="6">
        <v>8</v>
      </c>
      <c r="AS7" s="6">
        <v>11</v>
      </c>
      <c r="AT7" s="5"/>
      <c r="AU7" s="5"/>
      <c r="AV7" s="6">
        <v>14</v>
      </c>
      <c r="AW7" s="6">
        <v>17</v>
      </c>
      <c r="AX7" s="5"/>
      <c r="AY7" s="5"/>
      <c r="AZ7" s="6">
        <v>20</v>
      </c>
      <c r="BA7" s="6">
        <v>22</v>
      </c>
      <c r="BB7" s="7"/>
      <c r="BC7" s="4"/>
      <c r="BD7" s="11">
        <v>2</v>
      </c>
      <c r="BE7" s="2">
        <v>5</v>
      </c>
      <c r="BG7" s="2">
        <v>8</v>
      </c>
      <c r="BH7" s="2">
        <v>11</v>
      </c>
      <c r="BJ7" s="2">
        <v>14</v>
      </c>
      <c r="BK7" s="2">
        <v>17</v>
      </c>
      <c r="BM7" s="2">
        <v>20</v>
      </c>
      <c r="BN7" s="2">
        <v>22</v>
      </c>
      <c r="BO7" s="7"/>
      <c r="BP7" s="8"/>
      <c r="BQ7" s="2">
        <v>3</v>
      </c>
      <c r="BR7" s="2">
        <v>6</v>
      </c>
      <c r="BT7" s="2">
        <v>9</v>
      </c>
      <c r="BU7" s="2">
        <v>12</v>
      </c>
      <c r="BW7" s="2">
        <v>15</v>
      </c>
      <c r="BX7" s="2">
        <v>18</v>
      </c>
      <c r="BZ7" s="2">
        <v>21</v>
      </c>
      <c r="CA7" s="2">
        <v>23</v>
      </c>
      <c r="CB7" s="9"/>
    </row>
    <row r="8" spans="3:80" ht="14.45" customHeight="1">
      <c r="C8" s="193"/>
      <c r="D8" s="193"/>
      <c r="E8" s="193"/>
      <c r="G8" s="199"/>
      <c r="H8" s="168"/>
      <c r="I8" s="168"/>
      <c r="J8" s="200"/>
      <c r="K8" s="196" t="s">
        <v>9</v>
      </c>
      <c r="L8" s="197"/>
      <c r="M8" s="198"/>
      <c r="N8" s="196" t="s">
        <v>10</v>
      </c>
      <c r="O8" s="197"/>
      <c r="P8" s="197"/>
      <c r="Q8" s="197"/>
      <c r="R8" s="197"/>
      <c r="S8" s="197"/>
      <c r="T8" s="197"/>
      <c r="U8" s="197"/>
      <c r="V8" s="197"/>
      <c r="W8" s="197"/>
      <c r="X8" s="197"/>
      <c r="Y8" s="197"/>
      <c r="Z8" s="197"/>
      <c r="AA8" s="197"/>
      <c r="AB8" s="198"/>
      <c r="AD8" s="5"/>
      <c r="AE8" s="5"/>
      <c r="AF8" s="5"/>
      <c r="AG8" s="5"/>
      <c r="AH8" s="5"/>
      <c r="AI8" s="5"/>
      <c r="AJ8" s="5"/>
      <c r="AK8" s="5"/>
      <c r="AL8" s="5"/>
      <c r="AM8" s="12"/>
      <c r="AN8" s="13"/>
      <c r="AO8" s="13"/>
      <c r="AP8" s="13"/>
      <c r="AQ8" s="13"/>
      <c r="AR8" s="13"/>
      <c r="AS8" s="206">
        <v>11002</v>
      </c>
      <c r="AT8" s="206"/>
      <c r="AU8" s="206"/>
      <c r="AV8" s="206"/>
      <c r="AW8" s="13"/>
      <c r="AX8" s="13"/>
      <c r="AY8" s="13"/>
      <c r="AZ8" s="13"/>
      <c r="BA8" s="13"/>
      <c r="BB8" s="14"/>
      <c r="BC8" s="12"/>
      <c r="BD8" s="15"/>
      <c r="BE8" s="15"/>
      <c r="BF8" s="15"/>
      <c r="BG8" s="15"/>
      <c r="BH8" s="206">
        <v>11006</v>
      </c>
      <c r="BI8" s="206"/>
      <c r="BJ8" s="206"/>
      <c r="BK8" s="15"/>
      <c r="BL8" s="15"/>
      <c r="BM8" s="15"/>
      <c r="BN8" s="15"/>
      <c r="BO8" s="14"/>
      <c r="BP8" s="16"/>
      <c r="BQ8" s="13"/>
      <c r="BR8" s="13"/>
      <c r="BS8" s="13"/>
      <c r="BT8" s="13"/>
      <c r="BU8" s="206">
        <v>11009</v>
      </c>
      <c r="BV8" s="206"/>
      <c r="BW8" s="206"/>
      <c r="BX8" s="13"/>
      <c r="BY8" s="13"/>
      <c r="BZ8" s="13"/>
      <c r="CA8" s="13"/>
      <c r="CB8" s="17"/>
    </row>
    <row r="9" spans="3:80">
      <c r="C9" s="193"/>
      <c r="D9" s="193"/>
      <c r="E9" s="193"/>
      <c r="G9" s="199"/>
      <c r="H9" s="168"/>
      <c r="I9" s="168"/>
      <c r="J9" s="200"/>
      <c r="K9" s="199"/>
      <c r="L9" s="168"/>
      <c r="M9" s="200"/>
      <c r="N9" s="199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  <c r="AA9" s="168"/>
      <c r="AB9" s="200"/>
      <c r="AD9" s="5"/>
      <c r="AE9" s="5"/>
      <c r="AF9" s="5"/>
      <c r="AG9" s="5"/>
      <c r="AH9" s="5"/>
      <c r="AI9" s="5"/>
      <c r="AJ9" s="5"/>
      <c r="AK9" s="5"/>
      <c r="AL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</row>
    <row r="10" spans="3:80">
      <c r="C10" s="193"/>
      <c r="D10" s="193"/>
      <c r="E10" s="193"/>
      <c r="G10" s="199"/>
      <c r="H10" s="168"/>
      <c r="I10" s="168"/>
      <c r="J10" s="200"/>
      <c r="K10" s="199"/>
      <c r="L10" s="168"/>
      <c r="M10" s="200"/>
      <c r="N10" s="199"/>
      <c r="O10" s="168"/>
      <c r="P10" s="168"/>
      <c r="Q10" s="168"/>
      <c r="R10" s="168"/>
      <c r="S10" s="168"/>
      <c r="T10" s="168"/>
      <c r="U10" s="168"/>
      <c r="V10" s="168"/>
      <c r="W10" s="168"/>
      <c r="X10" s="168"/>
      <c r="Y10" s="168"/>
      <c r="Z10" s="168"/>
      <c r="AA10" s="168"/>
      <c r="AB10" s="200"/>
      <c r="AD10" s="193" t="s">
        <v>11</v>
      </c>
      <c r="AE10" s="211"/>
      <c r="AF10" s="211"/>
      <c r="AG10" s="211"/>
      <c r="AH10" s="211"/>
      <c r="AI10" s="211"/>
      <c r="AJ10" s="211"/>
      <c r="AK10" s="211"/>
      <c r="AL10" s="211"/>
      <c r="AM10" s="211"/>
      <c r="AN10" s="211"/>
      <c r="AO10" s="193" t="s">
        <v>12</v>
      </c>
      <c r="AP10" s="211"/>
      <c r="AQ10" s="211"/>
      <c r="AR10" s="211"/>
      <c r="AS10" s="211"/>
      <c r="AT10" s="211"/>
      <c r="AU10" s="211"/>
      <c r="AV10" s="211"/>
      <c r="AW10" s="211"/>
      <c r="AX10" s="236" t="s">
        <v>13</v>
      </c>
      <c r="AY10" s="236"/>
      <c r="AZ10" s="236"/>
      <c r="BA10" s="193" t="s">
        <v>14</v>
      </c>
      <c r="BB10" s="211"/>
      <c r="BC10" s="211"/>
      <c r="BD10" s="211"/>
      <c r="BE10" s="211"/>
      <c r="BF10" s="193" t="s">
        <v>15</v>
      </c>
      <c r="BG10" s="211"/>
      <c r="BH10" s="211"/>
      <c r="BI10" s="211"/>
      <c r="BJ10" s="211"/>
      <c r="BK10" s="193" t="s">
        <v>16</v>
      </c>
      <c r="BL10" s="211"/>
      <c r="BM10" s="211"/>
      <c r="BO10" s="5"/>
      <c r="BP10" s="196" t="s">
        <v>17</v>
      </c>
      <c r="BQ10" s="246"/>
      <c r="BR10" s="246"/>
      <c r="BS10" s="246"/>
      <c r="BT10" s="246"/>
      <c r="BU10" s="246"/>
      <c r="BV10" s="246"/>
      <c r="BW10" s="246"/>
      <c r="BX10" s="246"/>
      <c r="BY10" s="246"/>
      <c r="BZ10" s="246"/>
      <c r="CA10" s="246"/>
      <c r="CB10" s="247"/>
    </row>
    <row r="11" spans="3:80">
      <c r="C11" s="193"/>
      <c r="D11" s="193"/>
      <c r="E11" s="193"/>
      <c r="G11" s="201"/>
      <c r="H11" s="202"/>
      <c r="I11" s="202"/>
      <c r="J11" s="203"/>
      <c r="K11" s="201"/>
      <c r="L11" s="202"/>
      <c r="M11" s="203"/>
      <c r="N11" s="201"/>
      <c r="O11" s="202"/>
      <c r="P11" s="202"/>
      <c r="Q11" s="202"/>
      <c r="R11" s="202"/>
      <c r="S11" s="202"/>
      <c r="T11" s="202"/>
      <c r="U11" s="202"/>
      <c r="V11" s="202"/>
      <c r="W11" s="202"/>
      <c r="X11" s="202"/>
      <c r="Y11" s="202"/>
      <c r="Z11" s="202"/>
      <c r="AA11" s="202"/>
      <c r="AB11" s="203"/>
      <c r="AD11" s="211"/>
      <c r="AE11" s="211"/>
      <c r="AF11" s="211"/>
      <c r="AG11" s="211"/>
      <c r="AH11" s="211"/>
      <c r="AI11" s="211"/>
      <c r="AJ11" s="211"/>
      <c r="AK11" s="211"/>
      <c r="AL11" s="211"/>
      <c r="AM11" s="211"/>
      <c r="AN11" s="211"/>
      <c r="AO11" s="211"/>
      <c r="AP11" s="211"/>
      <c r="AQ11" s="211"/>
      <c r="AR11" s="211"/>
      <c r="AS11" s="211"/>
      <c r="AT11" s="211"/>
      <c r="AU11" s="211"/>
      <c r="AV11" s="211"/>
      <c r="AW11" s="211"/>
      <c r="AX11" s="236"/>
      <c r="AY11" s="236"/>
      <c r="AZ11" s="236"/>
      <c r="BA11" s="211"/>
      <c r="BB11" s="211"/>
      <c r="BC11" s="211"/>
      <c r="BD11" s="211"/>
      <c r="BE11" s="211"/>
      <c r="BF11" s="211"/>
      <c r="BG11" s="211"/>
      <c r="BH11" s="211"/>
      <c r="BI11" s="211"/>
      <c r="BJ11" s="211"/>
      <c r="BK11" s="211"/>
      <c r="BL11" s="211"/>
      <c r="BM11" s="211"/>
      <c r="BO11" s="5"/>
      <c r="BP11" s="248"/>
      <c r="BQ11" s="161"/>
      <c r="BR11" s="161"/>
      <c r="BS11" s="161"/>
      <c r="BT11" s="161"/>
      <c r="BU11" s="161"/>
      <c r="BV11" s="161"/>
      <c r="BW11" s="161"/>
      <c r="BX11" s="161"/>
      <c r="BY11" s="161"/>
      <c r="BZ11" s="161"/>
      <c r="CA11" s="161"/>
      <c r="CB11" s="249"/>
    </row>
    <row r="12" spans="3:80">
      <c r="C12" s="193"/>
      <c r="D12" s="193"/>
      <c r="E12" s="19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248"/>
      <c r="BQ12" s="161"/>
      <c r="BR12" s="161"/>
      <c r="BS12" s="161"/>
      <c r="BT12" s="161"/>
      <c r="BU12" s="161"/>
      <c r="BV12" s="161"/>
      <c r="BW12" s="161"/>
      <c r="BX12" s="161"/>
      <c r="BY12" s="161"/>
      <c r="BZ12" s="161"/>
      <c r="CA12" s="161"/>
      <c r="CB12" s="249"/>
    </row>
    <row r="13" spans="3:80">
      <c r="C13" s="193"/>
      <c r="D13" s="193"/>
      <c r="E13" s="193"/>
      <c r="G13" s="3"/>
      <c r="H13" s="206">
        <v>11056</v>
      </c>
      <c r="I13" s="206"/>
      <c r="J13" s="3"/>
      <c r="BP13" s="248"/>
      <c r="BQ13" s="161"/>
      <c r="BR13" s="161"/>
      <c r="BS13" s="161"/>
      <c r="BT13" s="161"/>
      <c r="BU13" s="161"/>
      <c r="BV13" s="161"/>
      <c r="BW13" s="161"/>
      <c r="BX13" s="161"/>
      <c r="BY13" s="161"/>
      <c r="BZ13" s="161"/>
      <c r="CA13" s="161"/>
      <c r="CB13" s="249"/>
    </row>
    <row r="14" spans="3:80" ht="14.1" customHeight="1">
      <c r="C14" s="193"/>
      <c r="D14" s="193"/>
      <c r="E14" s="193"/>
      <c r="G14" s="271">
        <v>1</v>
      </c>
      <c r="H14" s="272"/>
      <c r="I14" s="271">
        <v>2</v>
      </c>
      <c r="J14" s="272"/>
      <c r="L14" s="193" t="s">
        <v>18</v>
      </c>
      <c r="M14" s="193"/>
      <c r="N14" s="193" t="s">
        <v>19</v>
      </c>
      <c r="O14" s="211" t="s">
        <v>20</v>
      </c>
      <c r="P14" s="211"/>
      <c r="Q14" s="211"/>
      <c r="R14" s="211"/>
      <c r="S14" s="211"/>
      <c r="T14" s="211"/>
      <c r="V14" s="214" t="s">
        <v>21</v>
      </c>
      <c r="W14" s="214"/>
      <c r="X14" s="214"/>
      <c r="Y14" s="214" t="s">
        <v>22</v>
      </c>
      <c r="Z14" s="214"/>
      <c r="AA14" s="214"/>
      <c r="AB14" s="214"/>
      <c r="AC14" s="214"/>
      <c r="AG14" s="214" t="s">
        <v>22</v>
      </c>
      <c r="AH14" s="214"/>
      <c r="AI14" s="214"/>
      <c r="AJ14" s="214"/>
      <c r="AK14" s="214"/>
      <c r="AL14" s="227" t="s">
        <v>23</v>
      </c>
      <c r="AM14" s="228"/>
      <c r="AN14" s="228"/>
      <c r="AO14" s="229"/>
      <c r="AP14" s="196" t="s">
        <v>24</v>
      </c>
      <c r="AQ14" s="197"/>
      <c r="AR14" s="197"/>
      <c r="AS14" s="198"/>
      <c r="AT14" s="237" t="s">
        <v>23</v>
      </c>
      <c r="AU14" s="238"/>
      <c r="AV14" s="238"/>
      <c r="AW14" s="239"/>
      <c r="AX14" s="214" t="s">
        <v>21</v>
      </c>
      <c r="AY14" s="214"/>
      <c r="AZ14" s="214"/>
      <c r="BA14" s="214"/>
      <c r="BB14" s="227" t="s">
        <v>25</v>
      </c>
      <c r="BC14" s="229"/>
      <c r="BF14" s="5"/>
      <c r="BG14" s="5"/>
      <c r="BH14" s="5"/>
      <c r="BI14" s="5"/>
      <c r="BJ14" s="5"/>
      <c r="BK14" s="5"/>
      <c r="BL14" s="5"/>
      <c r="BM14" s="5"/>
      <c r="BN14" s="5"/>
      <c r="BP14" s="250"/>
      <c r="BQ14" s="251"/>
      <c r="BR14" s="251"/>
      <c r="BS14" s="251"/>
      <c r="BT14" s="251"/>
      <c r="BU14" s="251"/>
      <c r="BV14" s="251"/>
      <c r="BW14" s="251"/>
      <c r="BX14" s="251"/>
      <c r="BY14" s="251"/>
      <c r="BZ14" s="251"/>
      <c r="CA14" s="251"/>
      <c r="CB14" s="252"/>
    </row>
    <row r="15" spans="3:80">
      <c r="C15" s="193"/>
      <c r="D15" s="193"/>
      <c r="E15" s="193"/>
      <c r="G15" s="271">
        <v>6</v>
      </c>
      <c r="H15" s="272"/>
      <c r="I15" s="271">
        <v>3</v>
      </c>
      <c r="J15" s="272"/>
      <c r="L15" s="193"/>
      <c r="M15" s="193"/>
      <c r="N15" s="193"/>
      <c r="O15" s="211"/>
      <c r="P15" s="211"/>
      <c r="Q15" s="211"/>
      <c r="R15" s="211"/>
      <c r="S15" s="211"/>
      <c r="T15" s="211"/>
      <c r="V15" s="214"/>
      <c r="W15" s="214"/>
      <c r="X15" s="214"/>
      <c r="Y15" s="214"/>
      <c r="Z15" s="214"/>
      <c r="AA15" s="214"/>
      <c r="AB15" s="214"/>
      <c r="AC15" s="214"/>
      <c r="AG15" s="214"/>
      <c r="AH15" s="214"/>
      <c r="AI15" s="214"/>
      <c r="AJ15" s="214"/>
      <c r="AK15" s="214"/>
      <c r="AL15" s="230"/>
      <c r="AM15" s="231"/>
      <c r="AN15" s="231"/>
      <c r="AO15" s="232"/>
      <c r="AP15" s="199"/>
      <c r="AQ15" s="168"/>
      <c r="AR15" s="168"/>
      <c r="AS15" s="200"/>
      <c r="AT15" s="240"/>
      <c r="AU15" s="241"/>
      <c r="AV15" s="241"/>
      <c r="AW15" s="242"/>
      <c r="AX15" s="214"/>
      <c r="AY15" s="214"/>
      <c r="AZ15" s="214"/>
      <c r="BA15" s="214"/>
      <c r="BB15" s="230"/>
      <c r="BC15" s="232"/>
      <c r="BF15" s="211" t="s">
        <v>26</v>
      </c>
      <c r="BG15" s="211"/>
      <c r="BH15" s="211"/>
      <c r="BI15" s="211"/>
      <c r="BJ15" s="211"/>
      <c r="BK15" s="211"/>
      <c r="BL15" s="211"/>
      <c r="BM15" s="211"/>
      <c r="BP15" s="193" t="s">
        <v>27</v>
      </c>
      <c r="BQ15" s="211"/>
      <c r="BR15" s="211"/>
      <c r="BS15" s="211"/>
      <c r="BT15" s="211"/>
      <c r="BU15" s="211"/>
      <c r="BV15" s="211"/>
      <c r="BW15" s="211"/>
      <c r="BX15" s="211"/>
      <c r="BY15" s="211"/>
      <c r="BZ15" s="211"/>
      <c r="CA15" s="211"/>
      <c r="CB15" s="211"/>
    </row>
    <row r="16" spans="3:80">
      <c r="C16" s="193" t="s">
        <v>28</v>
      </c>
      <c r="D16" s="193"/>
      <c r="E16" s="193"/>
      <c r="G16" s="271">
        <v>5</v>
      </c>
      <c r="H16" s="272"/>
      <c r="I16" s="271">
        <v>4</v>
      </c>
      <c r="J16" s="272"/>
      <c r="L16" s="193"/>
      <c r="M16" s="193"/>
      <c r="N16" s="193"/>
      <c r="O16" s="211"/>
      <c r="P16" s="211"/>
      <c r="Q16" s="211"/>
      <c r="R16" s="211"/>
      <c r="S16" s="211"/>
      <c r="T16" s="211"/>
      <c r="V16" s="214"/>
      <c r="W16" s="214"/>
      <c r="X16" s="214"/>
      <c r="Y16" s="214"/>
      <c r="Z16" s="214"/>
      <c r="AA16" s="214"/>
      <c r="AB16" s="214"/>
      <c r="AC16" s="214"/>
      <c r="AG16" s="214"/>
      <c r="AH16" s="214"/>
      <c r="AI16" s="214"/>
      <c r="AJ16" s="214"/>
      <c r="AK16" s="214"/>
      <c r="AL16" s="230"/>
      <c r="AM16" s="231"/>
      <c r="AN16" s="231"/>
      <c r="AO16" s="232"/>
      <c r="AP16" s="199"/>
      <c r="AQ16" s="168"/>
      <c r="AR16" s="168"/>
      <c r="AS16" s="200"/>
      <c r="AT16" s="240"/>
      <c r="AU16" s="241"/>
      <c r="AV16" s="241"/>
      <c r="AW16" s="242"/>
      <c r="AX16" s="214"/>
      <c r="AY16" s="214"/>
      <c r="AZ16" s="214"/>
      <c r="BA16" s="214"/>
      <c r="BB16" s="230"/>
      <c r="BC16" s="232"/>
      <c r="BF16" s="211"/>
      <c r="BG16" s="211"/>
      <c r="BH16" s="211"/>
      <c r="BI16" s="211"/>
      <c r="BJ16" s="211"/>
      <c r="BK16" s="211"/>
      <c r="BL16" s="211"/>
      <c r="BM16" s="211"/>
      <c r="BP16" s="211"/>
      <c r="BQ16" s="211"/>
      <c r="BR16" s="211"/>
      <c r="BS16" s="211"/>
      <c r="BT16" s="211"/>
      <c r="BU16" s="211"/>
      <c r="BV16" s="211"/>
      <c r="BW16" s="211"/>
      <c r="BX16" s="211"/>
      <c r="BY16" s="211"/>
      <c r="BZ16" s="211"/>
      <c r="CA16" s="211"/>
      <c r="CB16" s="211"/>
    </row>
    <row r="17" spans="3:80">
      <c r="C17" s="193"/>
      <c r="D17" s="193"/>
      <c r="E17" s="193"/>
      <c r="G17" s="218" t="s">
        <v>29</v>
      </c>
      <c r="H17" s="218"/>
      <c r="I17" s="218"/>
      <c r="J17" s="218"/>
      <c r="L17" s="193"/>
      <c r="M17" s="193"/>
      <c r="N17" s="193"/>
      <c r="O17" s="211"/>
      <c r="P17" s="211"/>
      <c r="Q17" s="211"/>
      <c r="R17" s="211"/>
      <c r="S17" s="211"/>
      <c r="T17" s="211"/>
      <c r="V17" s="214"/>
      <c r="W17" s="214"/>
      <c r="X17" s="214"/>
      <c r="Y17" s="214"/>
      <c r="Z17" s="214"/>
      <c r="AA17" s="214"/>
      <c r="AB17" s="214"/>
      <c r="AC17" s="214"/>
      <c r="AG17" s="214"/>
      <c r="AH17" s="214"/>
      <c r="AI17" s="214"/>
      <c r="AJ17" s="214"/>
      <c r="AK17" s="214"/>
      <c r="AL17" s="230"/>
      <c r="AM17" s="231"/>
      <c r="AN17" s="231"/>
      <c r="AO17" s="232"/>
      <c r="AP17" s="199"/>
      <c r="AQ17" s="168"/>
      <c r="AR17" s="168"/>
      <c r="AS17" s="200"/>
      <c r="AT17" s="240"/>
      <c r="AU17" s="241"/>
      <c r="AV17" s="241"/>
      <c r="AW17" s="242"/>
      <c r="AX17" s="214"/>
      <c r="AY17" s="214"/>
      <c r="AZ17" s="214"/>
      <c r="BA17" s="214"/>
      <c r="BB17" s="230"/>
      <c r="BC17" s="232"/>
      <c r="BF17" s="211"/>
      <c r="BG17" s="211"/>
      <c r="BH17" s="211"/>
      <c r="BI17" s="211"/>
      <c r="BJ17" s="211"/>
      <c r="BK17" s="211"/>
      <c r="BL17" s="211"/>
      <c r="BM17" s="211"/>
      <c r="BP17" s="211"/>
      <c r="BQ17" s="211"/>
      <c r="BR17" s="211"/>
      <c r="BS17" s="211"/>
      <c r="BT17" s="211"/>
      <c r="BU17" s="211"/>
      <c r="BV17" s="211"/>
      <c r="BW17" s="211"/>
      <c r="BX17" s="211"/>
      <c r="BY17" s="211"/>
      <c r="BZ17" s="211"/>
      <c r="CA17" s="211"/>
      <c r="CB17" s="211"/>
    </row>
    <row r="18" spans="3:80">
      <c r="C18" s="193"/>
      <c r="D18" s="193"/>
      <c r="E18" s="193"/>
      <c r="G18" s="271">
        <v>1</v>
      </c>
      <c r="H18" s="272"/>
      <c r="I18" s="271">
        <v>2</v>
      </c>
      <c r="J18" s="272"/>
      <c r="L18" s="193" t="s">
        <v>30</v>
      </c>
      <c r="M18" s="193"/>
      <c r="N18" s="193"/>
      <c r="O18" s="211"/>
      <c r="P18" s="211"/>
      <c r="Q18" s="211"/>
      <c r="R18" s="211"/>
      <c r="S18" s="211"/>
      <c r="T18" s="211"/>
      <c r="V18" s="214"/>
      <c r="W18" s="214"/>
      <c r="X18" s="214"/>
      <c r="Y18" s="214"/>
      <c r="Z18" s="214"/>
      <c r="AA18" s="214"/>
      <c r="AB18" s="214"/>
      <c r="AC18" s="214"/>
      <c r="AG18" s="214"/>
      <c r="AH18" s="214"/>
      <c r="AI18" s="214"/>
      <c r="AJ18" s="214"/>
      <c r="AK18" s="214"/>
      <c r="AL18" s="230"/>
      <c r="AM18" s="231"/>
      <c r="AN18" s="231"/>
      <c r="AO18" s="232"/>
      <c r="AP18" s="199"/>
      <c r="AQ18" s="168"/>
      <c r="AR18" s="168"/>
      <c r="AS18" s="200"/>
      <c r="AT18" s="240"/>
      <c r="AU18" s="241"/>
      <c r="AV18" s="241"/>
      <c r="AW18" s="242"/>
      <c r="AX18" s="214"/>
      <c r="AY18" s="214"/>
      <c r="AZ18" s="214"/>
      <c r="BA18" s="214"/>
      <c r="BB18" s="230"/>
      <c r="BC18" s="232"/>
      <c r="BF18" s="211"/>
      <c r="BG18" s="211"/>
      <c r="BH18" s="211"/>
      <c r="BI18" s="211"/>
      <c r="BJ18" s="211"/>
      <c r="BK18" s="211"/>
      <c r="BL18" s="211"/>
      <c r="BM18" s="211"/>
      <c r="BP18" s="211"/>
      <c r="BQ18" s="211"/>
      <c r="BR18" s="211"/>
      <c r="BS18" s="211"/>
      <c r="BT18" s="211"/>
      <c r="BU18" s="211"/>
      <c r="BV18" s="211"/>
      <c r="BW18" s="211"/>
      <c r="BX18" s="211"/>
      <c r="BY18" s="211"/>
      <c r="BZ18" s="211"/>
      <c r="CA18" s="211"/>
      <c r="CB18" s="211"/>
    </row>
    <row r="19" spans="3:80">
      <c r="C19" s="193"/>
      <c r="D19" s="193"/>
      <c r="E19" s="193"/>
      <c r="G19" s="271">
        <v>6</v>
      </c>
      <c r="H19" s="272"/>
      <c r="I19" s="271">
        <v>3</v>
      </c>
      <c r="J19" s="272"/>
      <c r="L19" s="193"/>
      <c r="M19" s="193"/>
      <c r="N19" s="193"/>
      <c r="O19" s="211"/>
      <c r="P19" s="211"/>
      <c r="Q19" s="211"/>
      <c r="R19" s="211"/>
      <c r="S19" s="211"/>
      <c r="T19" s="211"/>
      <c r="V19" s="214"/>
      <c r="W19" s="214"/>
      <c r="X19" s="214"/>
      <c r="Y19" s="214"/>
      <c r="Z19" s="214"/>
      <c r="AA19" s="214"/>
      <c r="AB19" s="214"/>
      <c r="AC19" s="214"/>
      <c r="AG19" s="214"/>
      <c r="AH19" s="214"/>
      <c r="AI19" s="214"/>
      <c r="AJ19" s="214"/>
      <c r="AK19" s="214"/>
      <c r="AL19" s="230"/>
      <c r="AM19" s="231"/>
      <c r="AN19" s="231"/>
      <c r="AO19" s="232"/>
      <c r="AP19" s="199"/>
      <c r="AQ19" s="168"/>
      <c r="AR19" s="168"/>
      <c r="AS19" s="200"/>
      <c r="AT19" s="240"/>
      <c r="AU19" s="241"/>
      <c r="AV19" s="241"/>
      <c r="AW19" s="242"/>
      <c r="AX19" s="214"/>
      <c r="AY19" s="214"/>
      <c r="AZ19" s="214"/>
      <c r="BA19" s="214"/>
      <c r="BB19" s="230"/>
      <c r="BC19" s="232"/>
      <c r="BF19" s="211" t="s">
        <v>31</v>
      </c>
      <c r="BG19" s="211"/>
      <c r="BH19" s="211"/>
      <c r="BI19" s="211"/>
      <c r="BJ19" s="211"/>
      <c r="BK19" s="211"/>
      <c r="BL19" s="211"/>
      <c r="BM19" s="211"/>
      <c r="BP19" s="211"/>
      <c r="BQ19" s="211"/>
      <c r="BR19" s="211"/>
      <c r="BS19" s="211"/>
      <c r="BT19" s="211"/>
      <c r="BU19" s="211"/>
      <c r="BV19" s="211"/>
      <c r="BW19" s="211"/>
      <c r="BX19" s="211"/>
      <c r="BY19" s="211"/>
      <c r="BZ19" s="211"/>
      <c r="CA19" s="211"/>
      <c r="CB19" s="211"/>
    </row>
    <row r="20" spans="3:80">
      <c r="C20" s="193"/>
      <c r="D20" s="193"/>
      <c r="E20" s="193"/>
      <c r="G20" s="271">
        <v>5</v>
      </c>
      <c r="H20" s="272"/>
      <c r="I20" s="271">
        <v>4</v>
      </c>
      <c r="J20" s="272"/>
      <c r="L20" s="193"/>
      <c r="M20" s="193"/>
      <c r="N20" s="193" t="s">
        <v>32</v>
      </c>
      <c r="O20" s="211" t="s">
        <v>33</v>
      </c>
      <c r="P20" s="211"/>
      <c r="Q20" s="211"/>
      <c r="R20" s="211"/>
      <c r="S20" s="211"/>
      <c r="T20" s="211"/>
      <c r="V20" s="214"/>
      <c r="W20" s="214"/>
      <c r="X20" s="214"/>
      <c r="Y20" s="214"/>
      <c r="Z20" s="214"/>
      <c r="AA20" s="214"/>
      <c r="AB20" s="214"/>
      <c r="AC20" s="214"/>
      <c r="AG20" s="214"/>
      <c r="AH20" s="214"/>
      <c r="AI20" s="214"/>
      <c r="AJ20" s="214"/>
      <c r="AK20" s="214"/>
      <c r="AL20" s="230"/>
      <c r="AM20" s="231"/>
      <c r="AN20" s="231"/>
      <c r="AO20" s="232"/>
      <c r="AP20" s="199"/>
      <c r="AQ20" s="168"/>
      <c r="AR20" s="168"/>
      <c r="AS20" s="200"/>
      <c r="AT20" s="240"/>
      <c r="AU20" s="241"/>
      <c r="AV20" s="241"/>
      <c r="AW20" s="242"/>
      <c r="AX20" s="214"/>
      <c r="AY20" s="214"/>
      <c r="AZ20" s="214"/>
      <c r="BA20" s="214"/>
      <c r="BB20" s="230"/>
      <c r="BC20" s="232"/>
      <c r="BF20" s="211"/>
      <c r="BG20" s="211"/>
      <c r="BH20" s="211"/>
      <c r="BI20" s="211"/>
      <c r="BJ20" s="211"/>
      <c r="BK20" s="211"/>
      <c r="BL20" s="211"/>
      <c r="BM20" s="211"/>
      <c r="BP20" s="211"/>
      <c r="BQ20" s="211"/>
      <c r="BR20" s="211"/>
      <c r="BS20" s="211"/>
      <c r="BT20" s="211"/>
      <c r="BU20" s="211"/>
      <c r="BV20" s="211"/>
      <c r="BW20" s="211"/>
      <c r="BX20" s="211"/>
      <c r="BY20" s="211"/>
      <c r="BZ20" s="211"/>
      <c r="CA20" s="211"/>
      <c r="CB20" s="211"/>
    </row>
    <row r="21" spans="3:80" ht="14.1" customHeight="1">
      <c r="C21" s="193" t="s">
        <v>34</v>
      </c>
      <c r="D21" s="193"/>
      <c r="E21" s="193"/>
      <c r="H21" s="207">
        <v>11053</v>
      </c>
      <c r="I21" s="207"/>
      <c r="L21" s="193"/>
      <c r="M21" s="193"/>
      <c r="N21" s="193"/>
      <c r="O21" s="211"/>
      <c r="P21" s="211"/>
      <c r="Q21" s="211"/>
      <c r="R21" s="211"/>
      <c r="S21" s="211"/>
      <c r="T21" s="211"/>
      <c r="V21" s="214"/>
      <c r="W21" s="214"/>
      <c r="X21" s="214"/>
      <c r="Y21" s="214"/>
      <c r="Z21" s="214"/>
      <c r="AA21" s="214"/>
      <c r="AB21" s="214"/>
      <c r="AC21" s="214"/>
      <c r="AG21" s="214"/>
      <c r="AH21" s="214"/>
      <c r="AI21" s="214"/>
      <c r="AJ21" s="214"/>
      <c r="AK21" s="214"/>
      <c r="AL21" s="230"/>
      <c r="AM21" s="231"/>
      <c r="AN21" s="231"/>
      <c r="AO21" s="232"/>
      <c r="AP21" s="199"/>
      <c r="AQ21" s="168"/>
      <c r="AR21" s="168"/>
      <c r="AS21" s="200"/>
      <c r="AT21" s="240"/>
      <c r="AU21" s="241"/>
      <c r="AV21" s="241"/>
      <c r="AW21" s="242"/>
      <c r="AX21" s="214"/>
      <c r="AY21" s="214"/>
      <c r="AZ21" s="214"/>
      <c r="BA21" s="214"/>
      <c r="BB21" s="230"/>
      <c r="BC21" s="232"/>
      <c r="BF21" s="211"/>
      <c r="BG21" s="211"/>
      <c r="BH21" s="211"/>
      <c r="BI21" s="211"/>
      <c r="BJ21" s="211"/>
      <c r="BK21" s="211"/>
      <c r="BL21" s="211"/>
      <c r="BM21" s="211"/>
      <c r="BP21" s="211" t="s">
        <v>35</v>
      </c>
      <c r="BQ21" s="211"/>
      <c r="BR21" s="211"/>
      <c r="BS21" s="193" t="s">
        <v>36</v>
      </c>
      <c r="BT21" s="211"/>
      <c r="BU21" s="211"/>
      <c r="BV21" s="211"/>
      <c r="BW21" s="211"/>
      <c r="BX21" s="193" t="s">
        <v>37</v>
      </c>
      <c r="BY21" s="211"/>
      <c r="BZ21" s="211"/>
      <c r="CA21" s="211"/>
      <c r="CB21" s="211"/>
    </row>
    <row r="22" spans="3:80">
      <c r="C22" s="193"/>
      <c r="D22" s="193"/>
      <c r="E22" s="193"/>
      <c r="G22" s="271">
        <v>1</v>
      </c>
      <c r="H22" s="272"/>
      <c r="I22" s="271">
        <v>2</v>
      </c>
      <c r="J22" s="272"/>
      <c r="L22" s="193" t="s">
        <v>38</v>
      </c>
      <c r="M22" s="193"/>
      <c r="N22" s="193"/>
      <c r="O22" s="211"/>
      <c r="P22" s="211"/>
      <c r="Q22" s="211"/>
      <c r="R22" s="211"/>
      <c r="S22" s="211"/>
      <c r="T22" s="211"/>
      <c r="V22" s="214"/>
      <c r="W22" s="214"/>
      <c r="X22" s="214"/>
      <c r="Y22" s="214"/>
      <c r="Z22" s="214"/>
      <c r="AA22" s="214"/>
      <c r="AB22" s="214"/>
      <c r="AC22" s="214"/>
      <c r="AG22" s="214"/>
      <c r="AH22" s="214"/>
      <c r="AI22" s="214"/>
      <c r="AJ22" s="214"/>
      <c r="AK22" s="214"/>
      <c r="AL22" s="230"/>
      <c r="AM22" s="231"/>
      <c r="AN22" s="231"/>
      <c r="AO22" s="232"/>
      <c r="AP22" s="199"/>
      <c r="AQ22" s="168"/>
      <c r="AR22" s="168"/>
      <c r="AS22" s="200"/>
      <c r="AT22" s="240"/>
      <c r="AU22" s="241"/>
      <c r="AV22" s="241"/>
      <c r="AW22" s="242"/>
      <c r="AX22" s="214"/>
      <c r="AY22" s="214"/>
      <c r="AZ22" s="214"/>
      <c r="BA22" s="214"/>
      <c r="BB22" s="230"/>
      <c r="BC22" s="232"/>
      <c r="BF22" s="211"/>
      <c r="BG22" s="211"/>
      <c r="BH22" s="211"/>
      <c r="BI22" s="211"/>
      <c r="BJ22" s="211"/>
      <c r="BK22" s="211"/>
      <c r="BL22" s="211"/>
      <c r="BM22" s="211"/>
      <c r="BP22" s="211"/>
      <c r="BQ22" s="211"/>
      <c r="BR22" s="211"/>
      <c r="BS22" s="211"/>
      <c r="BT22" s="211"/>
      <c r="BU22" s="211"/>
      <c r="BV22" s="211"/>
      <c r="BW22" s="211"/>
      <c r="BX22" s="211"/>
      <c r="BY22" s="211"/>
      <c r="BZ22" s="211"/>
      <c r="CA22" s="211"/>
      <c r="CB22" s="211"/>
    </row>
    <row r="23" spans="3:80">
      <c r="C23" s="193"/>
      <c r="D23" s="193"/>
      <c r="E23" s="193"/>
      <c r="G23" s="271">
        <v>6</v>
      </c>
      <c r="H23" s="272"/>
      <c r="I23" s="271">
        <v>3</v>
      </c>
      <c r="J23" s="272"/>
      <c r="L23" s="193"/>
      <c r="M23" s="193"/>
      <c r="N23" s="193"/>
      <c r="O23" s="211"/>
      <c r="P23" s="211"/>
      <c r="Q23" s="211"/>
      <c r="R23" s="211"/>
      <c r="S23" s="211"/>
      <c r="T23" s="211"/>
      <c r="V23" s="214"/>
      <c r="W23" s="214"/>
      <c r="X23" s="214"/>
      <c r="Y23" s="214"/>
      <c r="Z23" s="214"/>
      <c r="AA23" s="214"/>
      <c r="AB23" s="214"/>
      <c r="AC23" s="214"/>
      <c r="AG23" s="214"/>
      <c r="AH23" s="214"/>
      <c r="AI23" s="214"/>
      <c r="AJ23" s="214"/>
      <c r="AK23" s="214"/>
      <c r="AL23" s="230"/>
      <c r="AM23" s="231"/>
      <c r="AN23" s="231"/>
      <c r="AO23" s="232"/>
      <c r="AP23" s="199"/>
      <c r="AQ23" s="168"/>
      <c r="AR23" s="168"/>
      <c r="AS23" s="200"/>
      <c r="AT23" s="240"/>
      <c r="AU23" s="241"/>
      <c r="AV23" s="241"/>
      <c r="AW23" s="242"/>
      <c r="AX23" s="214"/>
      <c r="AY23" s="214"/>
      <c r="AZ23" s="214"/>
      <c r="BA23" s="214"/>
      <c r="BB23" s="233"/>
      <c r="BC23" s="235"/>
      <c r="BF23" s="211" t="s">
        <v>39</v>
      </c>
      <c r="BG23" s="211"/>
      <c r="BH23" s="211"/>
      <c r="BI23" s="211"/>
      <c r="BJ23" s="211" t="s">
        <v>40</v>
      </c>
      <c r="BK23" s="211"/>
      <c r="BL23" s="211"/>
      <c r="BM23" s="211"/>
      <c r="BP23" s="211"/>
      <c r="BQ23" s="211"/>
      <c r="BR23" s="211"/>
      <c r="BS23" s="211"/>
      <c r="BT23" s="211"/>
      <c r="BU23" s="211"/>
      <c r="BV23" s="211"/>
      <c r="BW23" s="211"/>
      <c r="BX23" s="211"/>
      <c r="BY23" s="211"/>
      <c r="BZ23" s="211"/>
      <c r="CA23" s="211"/>
      <c r="CB23" s="211"/>
    </row>
    <row r="24" spans="3:80">
      <c r="C24" s="193"/>
      <c r="D24" s="193"/>
      <c r="E24" s="193"/>
      <c r="G24" s="271">
        <v>5</v>
      </c>
      <c r="H24" s="272"/>
      <c r="I24" s="271">
        <v>4</v>
      </c>
      <c r="J24" s="272"/>
      <c r="L24" s="193"/>
      <c r="M24" s="193"/>
      <c r="N24" s="193"/>
      <c r="O24" s="211"/>
      <c r="P24" s="211"/>
      <c r="Q24" s="211"/>
      <c r="R24" s="211"/>
      <c r="S24" s="211"/>
      <c r="T24" s="211"/>
      <c r="V24" s="214"/>
      <c r="W24" s="214"/>
      <c r="X24" s="214"/>
      <c r="Y24" s="214"/>
      <c r="Z24" s="214"/>
      <c r="AA24" s="214"/>
      <c r="AB24" s="214"/>
      <c r="AC24" s="214"/>
      <c r="AG24" s="214"/>
      <c r="AH24" s="214"/>
      <c r="AI24" s="214"/>
      <c r="AJ24" s="214"/>
      <c r="AK24" s="214"/>
      <c r="AL24" s="230"/>
      <c r="AM24" s="231"/>
      <c r="AN24" s="231"/>
      <c r="AO24" s="232"/>
      <c r="AP24" s="199"/>
      <c r="AQ24" s="168"/>
      <c r="AR24" s="168"/>
      <c r="AS24" s="200"/>
      <c r="AT24" s="240"/>
      <c r="AU24" s="241"/>
      <c r="AV24" s="241"/>
      <c r="AW24" s="242"/>
      <c r="AX24" s="214"/>
      <c r="AY24" s="214"/>
      <c r="AZ24" s="214"/>
      <c r="BA24" s="214"/>
      <c r="BF24" s="211"/>
      <c r="BG24" s="211"/>
      <c r="BH24" s="211"/>
      <c r="BI24" s="211"/>
      <c r="BJ24" s="211"/>
      <c r="BK24" s="211"/>
      <c r="BL24" s="211"/>
      <c r="BM24" s="211"/>
      <c r="BP24" s="211"/>
      <c r="BQ24" s="211"/>
      <c r="BR24" s="211"/>
      <c r="BS24" s="211"/>
      <c r="BT24" s="211"/>
      <c r="BU24" s="211"/>
      <c r="BV24" s="211"/>
      <c r="BW24" s="211"/>
      <c r="BX24" s="211"/>
      <c r="BY24" s="211"/>
      <c r="BZ24" s="211"/>
      <c r="CA24" s="211"/>
      <c r="CB24" s="211"/>
    </row>
    <row r="25" spans="3:80">
      <c r="C25" s="193"/>
      <c r="D25" s="193"/>
      <c r="E25" s="193"/>
      <c r="H25" s="187">
        <v>11052</v>
      </c>
      <c r="I25" s="187"/>
      <c r="L25" s="193"/>
      <c r="M25" s="193"/>
      <c r="N25" s="193"/>
      <c r="O25" s="211"/>
      <c r="P25" s="211"/>
      <c r="Q25" s="211"/>
      <c r="R25" s="211"/>
      <c r="S25" s="211"/>
      <c r="T25" s="211"/>
      <c r="V25" s="214"/>
      <c r="W25" s="214"/>
      <c r="X25" s="214"/>
      <c r="Y25" s="214"/>
      <c r="Z25" s="214"/>
      <c r="AA25" s="214"/>
      <c r="AB25" s="214"/>
      <c r="AC25" s="214"/>
      <c r="AG25" s="214"/>
      <c r="AH25" s="214"/>
      <c r="AI25" s="214"/>
      <c r="AJ25" s="214"/>
      <c r="AK25" s="214"/>
      <c r="AL25" s="233"/>
      <c r="AM25" s="234"/>
      <c r="AN25" s="234"/>
      <c r="AO25" s="235"/>
      <c r="AP25" s="201"/>
      <c r="AQ25" s="202"/>
      <c r="AR25" s="202"/>
      <c r="AS25" s="203"/>
      <c r="AT25" s="243"/>
      <c r="AU25" s="244"/>
      <c r="AV25" s="244"/>
      <c r="AW25" s="245"/>
      <c r="AX25" s="214"/>
      <c r="AY25" s="214"/>
      <c r="AZ25" s="214"/>
      <c r="BA25" s="214"/>
      <c r="BP25" s="211"/>
      <c r="BQ25" s="211"/>
      <c r="BR25" s="211"/>
      <c r="BS25" s="211"/>
      <c r="BT25" s="211"/>
      <c r="BU25" s="211"/>
      <c r="BV25" s="211"/>
      <c r="BW25" s="211"/>
      <c r="BX25" s="211"/>
      <c r="BY25" s="211"/>
      <c r="BZ25" s="211"/>
      <c r="CA25" s="211"/>
      <c r="CB25" s="211"/>
    </row>
    <row r="26" spans="3:80">
      <c r="C26" s="3"/>
      <c r="D26" s="3"/>
      <c r="E26" s="3"/>
      <c r="L26" s="3"/>
      <c r="M26" s="3"/>
      <c r="N26" s="3"/>
    </row>
    <row r="27" spans="3:80" ht="14.1" customHeight="1">
      <c r="I27" s="206">
        <v>11045</v>
      </c>
      <c r="J27" s="206"/>
      <c r="BH27" s="222" t="s">
        <v>41</v>
      </c>
      <c r="BI27" s="222"/>
      <c r="BJ27" s="222"/>
      <c r="BN27" s="3"/>
    </row>
    <row r="28" spans="3:80" ht="18.95" customHeight="1">
      <c r="C28" s="19">
        <v>1</v>
      </c>
      <c r="D28" s="19">
        <v>2</v>
      </c>
      <c r="E28" s="19">
        <v>3</v>
      </c>
      <c r="G28" s="287">
        <v>7</v>
      </c>
      <c r="H28" s="288"/>
      <c r="I28" s="287">
        <v>8</v>
      </c>
      <c r="J28" s="288"/>
      <c r="K28" s="289">
        <v>9</v>
      </c>
      <c r="L28" s="289"/>
      <c r="N28" s="20">
        <v>1</v>
      </c>
      <c r="O28" s="20">
        <v>5</v>
      </c>
      <c r="Q28" s="20">
        <v>1</v>
      </c>
      <c r="R28" s="20">
        <v>5</v>
      </c>
      <c r="T28" s="20">
        <v>1</v>
      </c>
      <c r="U28" s="20">
        <v>5</v>
      </c>
      <c r="W28" s="58">
        <v>1</v>
      </c>
      <c r="X28" s="58">
        <v>5</v>
      </c>
      <c r="AC28" s="58">
        <v>1</v>
      </c>
      <c r="AD28" s="58">
        <v>5</v>
      </c>
      <c r="AE28" s="21"/>
      <c r="AF28" s="58">
        <v>1</v>
      </c>
      <c r="AG28" s="58">
        <v>5</v>
      </c>
      <c r="AH28" s="21"/>
      <c r="AI28" s="21"/>
      <c r="AJ28" s="58">
        <v>1</v>
      </c>
      <c r="AK28" s="58">
        <v>5</v>
      </c>
      <c r="AL28" s="21"/>
      <c r="AM28" s="21"/>
      <c r="AN28" s="58">
        <v>1</v>
      </c>
      <c r="AO28" s="58">
        <v>5</v>
      </c>
      <c r="AP28" s="21"/>
      <c r="AQ28" s="21"/>
      <c r="AR28" s="59">
        <v>1</v>
      </c>
      <c r="AS28" s="59">
        <v>5</v>
      </c>
      <c r="AT28" s="21"/>
      <c r="AU28" s="21"/>
      <c r="AV28" s="59">
        <v>1</v>
      </c>
      <c r="AW28" s="59">
        <v>5</v>
      </c>
      <c r="AX28" s="21"/>
      <c r="AY28" s="21"/>
      <c r="AZ28" s="59">
        <v>1</v>
      </c>
      <c r="BA28" s="59">
        <v>5</v>
      </c>
      <c r="BF28" s="2"/>
      <c r="BG28" s="2"/>
      <c r="BH28" s="2"/>
      <c r="BI28" s="2"/>
      <c r="BJ28" s="2"/>
      <c r="BK28" s="2"/>
      <c r="BL28" s="2"/>
      <c r="BN28" s="3"/>
      <c r="BP28" s="22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18"/>
    </row>
    <row r="29" spans="3:80" ht="14.45" customHeight="1">
      <c r="C29" s="19">
        <v>6</v>
      </c>
      <c r="D29" s="19">
        <v>5</v>
      </c>
      <c r="E29" s="19">
        <v>4</v>
      </c>
      <c r="G29" s="287">
        <v>6</v>
      </c>
      <c r="H29" s="288"/>
      <c r="I29" s="287">
        <v>5</v>
      </c>
      <c r="J29" s="288"/>
      <c r="K29" s="289">
        <v>4</v>
      </c>
      <c r="L29" s="289"/>
      <c r="N29" s="20">
        <v>2</v>
      </c>
      <c r="O29" s="20">
        <v>6</v>
      </c>
      <c r="Q29" s="20">
        <v>2</v>
      </c>
      <c r="R29" s="20">
        <v>6</v>
      </c>
      <c r="T29" s="20">
        <v>2</v>
      </c>
      <c r="U29" s="20">
        <v>6</v>
      </c>
      <c r="W29" s="58">
        <v>2</v>
      </c>
      <c r="X29" s="58">
        <v>6</v>
      </c>
      <c r="Y29" s="223" t="s">
        <v>42</v>
      </c>
      <c r="Z29" s="204"/>
      <c r="AA29" s="204"/>
      <c r="AB29" s="224"/>
      <c r="AC29" s="58">
        <v>2</v>
      </c>
      <c r="AD29" s="58">
        <v>6</v>
      </c>
      <c r="AE29" s="21"/>
      <c r="AF29" s="58">
        <v>2</v>
      </c>
      <c r="AG29" s="58">
        <v>6</v>
      </c>
      <c r="AH29" s="21"/>
      <c r="AI29" s="21"/>
      <c r="AJ29" s="58">
        <v>2</v>
      </c>
      <c r="AK29" s="58">
        <v>6</v>
      </c>
      <c r="AL29" s="21"/>
      <c r="AM29" s="21"/>
      <c r="AN29" s="58">
        <v>2</v>
      </c>
      <c r="AO29" s="58">
        <v>6</v>
      </c>
      <c r="AP29" s="21"/>
      <c r="AQ29" s="21"/>
      <c r="AR29" s="59">
        <v>2</v>
      </c>
      <c r="AS29" s="59">
        <v>6</v>
      </c>
      <c r="AT29" s="21"/>
      <c r="AU29" s="21"/>
      <c r="AV29" s="59">
        <v>2</v>
      </c>
      <c r="AW29" s="59">
        <v>6</v>
      </c>
      <c r="AX29" s="21"/>
      <c r="AY29" s="21"/>
      <c r="AZ29" s="59">
        <v>2</v>
      </c>
      <c r="BA29" s="59">
        <v>6</v>
      </c>
      <c r="BF29" s="193" t="s">
        <v>43</v>
      </c>
      <c r="BG29" s="193"/>
      <c r="BH29" s="193"/>
      <c r="BI29" s="193"/>
      <c r="BJ29" s="193" t="s">
        <v>44</v>
      </c>
      <c r="BK29" s="193"/>
      <c r="BL29" s="193"/>
      <c r="BM29" s="193"/>
      <c r="BN29" s="3"/>
      <c r="BP29" s="8"/>
      <c r="BQ29" s="2">
        <v>1</v>
      </c>
      <c r="BR29" s="2">
        <v>2</v>
      </c>
      <c r="BS29" s="2">
        <v>3</v>
      </c>
      <c r="BT29" s="2">
        <v>4</v>
      </c>
      <c r="BW29" s="2">
        <v>9</v>
      </c>
      <c r="BX29" s="2">
        <v>10</v>
      </c>
      <c r="BY29" s="2">
        <v>11</v>
      </c>
      <c r="BZ29" s="2">
        <v>12</v>
      </c>
      <c r="CB29" s="2">
        <v>17</v>
      </c>
    </row>
    <row r="30" spans="3:80" ht="14.45" customHeight="1">
      <c r="C30" s="207">
        <v>11049</v>
      </c>
      <c r="D30" s="207"/>
      <c r="E30" s="207"/>
      <c r="G30" s="287">
        <v>1</v>
      </c>
      <c r="H30" s="288"/>
      <c r="I30" s="287">
        <v>2</v>
      </c>
      <c r="J30" s="288"/>
      <c r="K30" s="289">
        <v>3</v>
      </c>
      <c r="L30" s="289"/>
      <c r="N30" s="20">
        <v>3</v>
      </c>
      <c r="O30" s="20">
        <v>7</v>
      </c>
      <c r="Q30" s="20">
        <v>3</v>
      </c>
      <c r="R30" s="20">
        <v>7</v>
      </c>
      <c r="T30" s="20">
        <v>3</v>
      </c>
      <c r="U30" s="20">
        <v>7</v>
      </c>
      <c r="W30" s="58">
        <v>3</v>
      </c>
      <c r="X30" s="58">
        <v>7</v>
      </c>
      <c r="AC30" s="58">
        <v>3</v>
      </c>
      <c r="AD30" s="58">
        <v>7</v>
      </c>
      <c r="AE30" s="21"/>
      <c r="AF30" s="58">
        <v>3</v>
      </c>
      <c r="AG30" s="58">
        <v>7</v>
      </c>
      <c r="AH30" s="21"/>
      <c r="AI30" s="21"/>
      <c r="AJ30" s="58">
        <v>3</v>
      </c>
      <c r="AK30" s="58">
        <v>7</v>
      </c>
      <c r="AL30" s="21"/>
      <c r="AM30" s="21"/>
      <c r="AN30" s="58">
        <v>3</v>
      </c>
      <c r="AO30" s="58">
        <v>7</v>
      </c>
      <c r="AP30" s="21"/>
      <c r="AQ30" s="21"/>
      <c r="AR30" s="59">
        <v>3</v>
      </c>
      <c r="AS30" s="59">
        <v>7</v>
      </c>
      <c r="AT30" s="21"/>
      <c r="AU30" s="21"/>
      <c r="AV30" s="59">
        <v>3</v>
      </c>
      <c r="AW30" s="59">
        <v>7</v>
      </c>
      <c r="AX30" s="21"/>
      <c r="AY30" s="21"/>
      <c r="AZ30" s="59">
        <v>3</v>
      </c>
      <c r="BA30" s="59">
        <v>7</v>
      </c>
      <c r="BF30" s="193"/>
      <c r="BG30" s="193"/>
      <c r="BH30" s="193"/>
      <c r="BI30" s="193"/>
      <c r="BJ30" s="193"/>
      <c r="BK30" s="193"/>
      <c r="BL30" s="193"/>
      <c r="BM30" s="193"/>
      <c r="BN30" s="3"/>
      <c r="BP30" s="8"/>
      <c r="BQ30" s="2">
        <v>5</v>
      </c>
      <c r="BR30" s="2">
        <v>6</v>
      </c>
      <c r="BS30" s="2">
        <v>7</v>
      </c>
      <c r="BT30" s="2">
        <v>8</v>
      </c>
      <c r="BU30" s="219">
        <v>11015</v>
      </c>
      <c r="BV30" s="220"/>
      <c r="BW30" s="2">
        <v>13</v>
      </c>
      <c r="BX30" s="2">
        <v>14</v>
      </c>
      <c r="BY30" s="2">
        <v>15</v>
      </c>
      <c r="BZ30" s="2">
        <v>16</v>
      </c>
      <c r="CB30" s="2">
        <v>18</v>
      </c>
    </row>
    <row r="31" spans="3:80" ht="14.1" customHeight="1">
      <c r="C31" s="19">
        <v>7</v>
      </c>
      <c r="D31" s="19">
        <v>8</v>
      </c>
      <c r="E31" s="19">
        <v>9</v>
      </c>
      <c r="G31" s="221" t="s">
        <v>45</v>
      </c>
      <c r="H31" s="221"/>
      <c r="I31" s="221"/>
      <c r="J31" s="221"/>
      <c r="K31" s="221"/>
      <c r="L31" s="221"/>
      <c r="N31" s="20">
        <v>4</v>
      </c>
      <c r="O31" s="20">
        <v>8</v>
      </c>
      <c r="Q31" s="20">
        <v>4</v>
      </c>
      <c r="R31" s="20">
        <v>8</v>
      </c>
      <c r="T31" s="20">
        <v>4</v>
      </c>
      <c r="U31" s="20">
        <v>8</v>
      </c>
      <c r="W31" s="58">
        <v>4</v>
      </c>
      <c r="X31" s="58">
        <v>8</v>
      </c>
      <c r="AC31" s="58">
        <v>4</v>
      </c>
      <c r="AD31" s="58">
        <v>8</v>
      </c>
      <c r="AE31" s="21"/>
      <c r="AF31" s="58">
        <v>4</v>
      </c>
      <c r="AG31" s="58">
        <v>8</v>
      </c>
      <c r="AH31" s="21"/>
      <c r="AI31" s="21"/>
      <c r="AJ31" s="58">
        <v>4</v>
      </c>
      <c r="AK31" s="58">
        <v>8</v>
      </c>
      <c r="AL31" s="21"/>
      <c r="AM31" s="21"/>
      <c r="AN31" s="58">
        <v>4</v>
      </c>
      <c r="AO31" s="58">
        <v>8</v>
      </c>
      <c r="AP31" s="21"/>
      <c r="AQ31" s="21"/>
      <c r="AR31" s="59">
        <v>4</v>
      </c>
      <c r="AS31" s="59">
        <v>8</v>
      </c>
      <c r="AT31" s="21"/>
      <c r="AU31" s="21"/>
      <c r="AV31" s="59">
        <v>4</v>
      </c>
      <c r="AW31" s="59">
        <v>8</v>
      </c>
      <c r="AX31" s="21"/>
      <c r="AY31" s="21"/>
      <c r="AZ31" s="59">
        <v>4</v>
      </c>
      <c r="BA31" s="59">
        <v>8</v>
      </c>
      <c r="BF31" s="193"/>
      <c r="BG31" s="193"/>
      <c r="BH31" s="193"/>
      <c r="BI31" s="193"/>
      <c r="BJ31" s="193"/>
      <c r="BK31" s="193"/>
      <c r="BL31" s="193"/>
      <c r="BM31" s="193"/>
      <c r="BN31" s="3"/>
      <c r="BP31" s="8"/>
      <c r="CB31" s="9"/>
    </row>
    <row r="32" spans="3:80">
      <c r="C32" s="19">
        <v>12</v>
      </c>
      <c r="D32" s="19">
        <v>11</v>
      </c>
      <c r="E32" s="19">
        <v>10</v>
      </c>
      <c r="I32" s="206">
        <v>11046</v>
      </c>
      <c r="J32" s="206"/>
      <c r="N32" s="187">
        <v>11042</v>
      </c>
      <c r="O32" s="187"/>
      <c r="P32" s="24"/>
      <c r="Q32" s="187">
        <v>11040</v>
      </c>
      <c r="R32" s="187"/>
      <c r="S32" s="24"/>
      <c r="T32" s="187">
        <v>11037</v>
      </c>
      <c r="U32" s="187"/>
      <c r="V32" s="24"/>
      <c r="W32" s="187">
        <v>11036</v>
      </c>
      <c r="X32" s="187"/>
      <c r="Y32" s="24"/>
      <c r="Z32" s="24"/>
      <c r="AA32" s="24"/>
      <c r="AB32" s="24"/>
      <c r="AC32" s="187">
        <v>11034</v>
      </c>
      <c r="AD32" s="187"/>
      <c r="AE32" s="24"/>
      <c r="AF32" s="187">
        <v>11033</v>
      </c>
      <c r="AG32" s="187"/>
      <c r="AH32" s="24"/>
      <c r="AI32" s="24"/>
      <c r="AJ32" s="187">
        <v>11029</v>
      </c>
      <c r="AK32" s="187"/>
      <c r="AL32" s="24"/>
      <c r="AM32" s="24"/>
      <c r="AN32" s="187">
        <v>11028</v>
      </c>
      <c r="AO32" s="187"/>
      <c r="AP32" s="24"/>
      <c r="AQ32" s="24"/>
      <c r="AR32" s="187">
        <v>11026</v>
      </c>
      <c r="AS32" s="187"/>
      <c r="AT32" s="24"/>
      <c r="AU32" s="24"/>
      <c r="AV32" s="187">
        <v>11024</v>
      </c>
      <c r="AW32" s="187"/>
      <c r="AX32" s="24"/>
      <c r="AY32" s="24"/>
      <c r="AZ32" s="187">
        <v>11021</v>
      </c>
      <c r="BA32" s="187"/>
      <c r="BF32" s="196" t="s">
        <v>46</v>
      </c>
      <c r="BG32" s="197"/>
      <c r="BH32" s="197"/>
      <c r="BI32" s="198"/>
      <c r="BJ32" s="196" t="s">
        <v>47</v>
      </c>
      <c r="BK32" s="197"/>
      <c r="BL32" s="197"/>
      <c r="BM32" s="198"/>
      <c r="BN32" s="3"/>
      <c r="BP32" s="8"/>
      <c r="BQ32" s="204" t="s">
        <v>48</v>
      </c>
      <c r="BR32" s="204"/>
      <c r="BS32" s="204"/>
      <c r="BT32" s="204"/>
      <c r="BU32" s="204"/>
      <c r="BV32" s="204"/>
      <c r="BW32" s="204"/>
      <c r="BX32" s="204"/>
      <c r="BY32" s="204"/>
      <c r="BZ32" s="204"/>
      <c r="CA32" s="204"/>
      <c r="CB32" s="9"/>
    </row>
    <row r="33" spans="3:80" ht="14.45" customHeight="1">
      <c r="C33" s="207">
        <v>11049</v>
      </c>
      <c r="D33" s="207"/>
      <c r="E33" s="207"/>
      <c r="G33" s="287">
        <v>7</v>
      </c>
      <c r="H33" s="288"/>
      <c r="I33" s="287">
        <v>8</v>
      </c>
      <c r="J33" s="288"/>
      <c r="K33" s="289">
        <v>9</v>
      </c>
      <c r="L33" s="289"/>
      <c r="X33" s="204" t="s">
        <v>49</v>
      </c>
      <c r="Y33" s="204"/>
      <c r="Z33" s="204"/>
      <c r="AA33" s="204"/>
      <c r="AB33" s="204"/>
      <c r="AC33" s="204"/>
      <c r="AD33" s="204"/>
      <c r="BF33" s="199"/>
      <c r="BG33" s="168"/>
      <c r="BH33" s="168"/>
      <c r="BI33" s="200"/>
      <c r="BJ33" s="199"/>
      <c r="BK33" s="168"/>
      <c r="BL33" s="168"/>
      <c r="BM33" s="200"/>
      <c r="BN33" s="3"/>
      <c r="BP33" s="8"/>
      <c r="BQ33" s="2">
        <v>19</v>
      </c>
      <c r="BR33" s="2">
        <v>23</v>
      </c>
      <c r="BT33" s="2">
        <v>27</v>
      </c>
      <c r="BU33" s="2">
        <v>31</v>
      </c>
      <c r="BW33" s="2">
        <v>35</v>
      </c>
      <c r="BX33" s="2">
        <v>39</v>
      </c>
      <c r="BZ33" s="2">
        <v>43</v>
      </c>
      <c r="CA33" s="2">
        <v>47</v>
      </c>
      <c r="CB33" s="9"/>
    </row>
    <row r="34" spans="3:80">
      <c r="C34" s="19">
        <v>15</v>
      </c>
      <c r="D34" s="19">
        <v>14</v>
      </c>
      <c r="E34" s="19">
        <v>13</v>
      </c>
      <c r="G34" s="287">
        <v>6</v>
      </c>
      <c r="H34" s="288"/>
      <c r="I34" s="287">
        <v>5</v>
      </c>
      <c r="J34" s="288"/>
      <c r="K34" s="289">
        <v>4</v>
      </c>
      <c r="L34" s="289"/>
      <c r="N34" s="20">
        <v>1</v>
      </c>
      <c r="O34" s="20">
        <v>2</v>
      </c>
      <c r="P34" s="20">
        <v>3</v>
      </c>
      <c r="Q34" s="20">
        <v>4</v>
      </c>
      <c r="S34" s="20">
        <v>1</v>
      </c>
      <c r="T34" s="20">
        <v>2</v>
      </c>
      <c r="U34" s="20">
        <v>3</v>
      </c>
      <c r="V34" s="20">
        <v>4</v>
      </c>
      <c r="X34" s="58">
        <v>1</v>
      </c>
      <c r="Y34" s="58">
        <v>2</v>
      </c>
      <c r="Z34" s="58">
        <v>3</v>
      </c>
      <c r="AA34" s="58">
        <v>4</v>
      </c>
      <c r="AD34" s="58">
        <v>1</v>
      </c>
      <c r="AE34" s="58">
        <v>2</v>
      </c>
      <c r="AF34" s="58">
        <v>3</v>
      </c>
      <c r="AG34" s="58">
        <v>4</v>
      </c>
      <c r="AH34" s="21"/>
      <c r="AI34" s="58">
        <v>1</v>
      </c>
      <c r="AJ34" s="58">
        <v>2</v>
      </c>
      <c r="AK34" s="58">
        <v>3</v>
      </c>
      <c r="AL34" s="58">
        <v>4</v>
      </c>
      <c r="AM34" s="21"/>
      <c r="AN34" s="59">
        <v>1</v>
      </c>
      <c r="AO34" s="59">
        <v>2</v>
      </c>
      <c r="AP34" s="59">
        <v>3</v>
      </c>
      <c r="AQ34" s="59">
        <v>4</v>
      </c>
      <c r="AR34" s="21"/>
      <c r="AS34" s="59">
        <v>1</v>
      </c>
      <c r="AT34" s="59">
        <v>2</v>
      </c>
      <c r="AU34" s="59">
        <v>3</v>
      </c>
      <c r="AV34" s="59">
        <v>4</v>
      </c>
      <c r="AW34" s="21"/>
      <c r="AX34" s="59">
        <v>1</v>
      </c>
      <c r="AY34" s="59">
        <v>2</v>
      </c>
      <c r="AZ34" s="59">
        <v>3</v>
      </c>
      <c r="BA34" s="59">
        <v>4</v>
      </c>
      <c r="BF34" s="199"/>
      <c r="BG34" s="168"/>
      <c r="BH34" s="168"/>
      <c r="BI34" s="200"/>
      <c r="BJ34" s="199"/>
      <c r="BK34" s="168"/>
      <c r="BL34" s="168"/>
      <c r="BM34" s="200"/>
      <c r="BN34" s="3"/>
      <c r="BP34" s="8"/>
      <c r="BQ34" s="2">
        <v>20</v>
      </c>
      <c r="BR34" s="2">
        <v>24</v>
      </c>
      <c r="BT34" s="2">
        <v>28</v>
      </c>
      <c r="BU34" s="2">
        <v>32</v>
      </c>
      <c r="BW34" s="2">
        <v>36</v>
      </c>
      <c r="BX34" s="2">
        <v>40</v>
      </c>
      <c r="BZ34" s="2">
        <v>44</v>
      </c>
      <c r="CA34" s="2">
        <v>48</v>
      </c>
      <c r="CB34" s="9"/>
    </row>
    <row r="35" spans="3:80">
      <c r="C35" s="193" t="s">
        <v>50</v>
      </c>
      <c r="D35" s="193"/>
      <c r="E35" s="193"/>
      <c r="G35" s="287">
        <v>1</v>
      </c>
      <c r="H35" s="288"/>
      <c r="I35" s="287">
        <v>2</v>
      </c>
      <c r="J35" s="288"/>
      <c r="K35" s="289">
        <v>3</v>
      </c>
      <c r="L35" s="289"/>
      <c r="N35" s="20">
        <v>8</v>
      </c>
      <c r="O35" s="20">
        <v>7</v>
      </c>
      <c r="P35" s="20">
        <v>6</v>
      </c>
      <c r="Q35" s="20">
        <v>5</v>
      </c>
      <c r="S35" s="20">
        <v>8</v>
      </c>
      <c r="T35" s="20">
        <v>7</v>
      </c>
      <c r="U35" s="20">
        <v>6</v>
      </c>
      <c r="V35" s="20">
        <v>5</v>
      </c>
      <c r="X35" s="58">
        <v>8</v>
      </c>
      <c r="Y35" s="58">
        <v>7</v>
      </c>
      <c r="Z35" s="58">
        <v>6</v>
      </c>
      <c r="AA35" s="58">
        <v>5</v>
      </c>
      <c r="AD35" s="58">
        <v>8</v>
      </c>
      <c r="AE35" s="58">
        <v>7</v>
      </c>
      <c r="AF35" s="58">
        <v>6</v>
      </c>
      <c r="AG35" s="58">
        <v>5</v>
      </c>
      <c r="AH35" s="21"/>
      <c r="AI35" s="58">
        <v>8</v>
      </c>
      <c r="AJ35" s="58">
        <v>7</v>
      </c>
      <c r="AK35" s="58">
        <v>6</v>
      </c>
      <c r="AL35" s="58">
        <v>5</v>
      </c>
      <c r="AM35" s="21"/>
      <c r="AN35" s="59">
        <v>8</v>
      </c>
      <c r="AO35" s="59">
        <v>7</v>
      </c>
      <c r="AP35" s="59">
        <v>6</v>
      </c>
      <c r="AQ35" s="59">
        <v>5</v>
      </c>
      <c r="AR35" s="21"/>
      <c r="AS35" s="59">
        <v>8</v>
      </c>
      <c r="AT35" s="59">
        <v>7</v>
      </c>
      <c r="AU35" s="59">
        <v>6</v>
      </c>
      <c r="AV35" s="59">
        <v>5</v>
      </c>
      <c r="AW35" s="21"/>
      <c r="AX35" s="59">
        <v>8</v>
      </c>
      <c r="AY35" s="59">
        <v>7</v>
      </c>
      <c r="AZ35" s="59">
        <v>6</v>
      </c>
      <c r="BA35" s="59">
        <v>5</v>
      </c>
      <c r="BF35" s="201"/>
      <c r="BG35" s="202"/>
      <c r="BH35" s="202"/>
      <c r="BI35" s="203"/>
      <c r="BJ35" s="201"/>
      <c r="BK35" s="202"/>
      <c r="BL35" s="202"/>
      <c r="BM35" s="203"/>
      <c r="BP35" s="8"/>
      <c r="BQ35" s="2">
        <v>21</v>
      </c>
      <c r="BR35" s="2">
        <v>25</v>
      </c>
      <c r="BT35" s="2">
        <v>29</v>
      </c>
      <c r="BU35" s="2">
        <v>33</v>
      </c>
      <c r="BW35" s="2">
        <v>37</v>
      </c>
      <c r="BX35" s="2">
        <v>41</v>
      </c>
      <c r="BZ35" s="2">
        <v>45</v>
      </c>
      <c r="CA35" s="2">
        <v>49</v>
      </c>
      <c r="CB35" s="9"/>
    </row>
    <row r="36" spans="3:80">
      <c r="C36" s="193"/>
      <c r="D36" s="193"/>
      <c r="E36" s="193"/>
      <c r="M36" s="24"/>
      <c r="N36" s="187">
        <v>11041</v>
      </c>
      <c r="O36" s="187"/>
      <c r="P36" s="187"/>
      <c r="Q36" s="187"/>
      <c r="R36" s="24"/>
      <c r="S36" s="187">
        <v>11038</v>
      </c>
      <c r="T36" s="187"/>
      <c r="U36" s="187"/>
      <c r="V36" s="187"/>
      <c r="W36" s="24"/>
      <c r="X36" s="187">
        <v>11035</v>
      </c>
      <c r="Y36" s="187"/>
      <c r="Z36" s="187"/>
      <c r="AA36" s="187"/>
      <c r="AB36" s="24"/>
      <c r="AC36" s="24"/>
      <c r="AD36" s="187">
        <v>11033</v>
      </c>
      <c r="AE36" s="187"/>
      <c r="AF36" s="187"/>
      <c r="AG36" s="187"/>
      <c r="AH36" s="24"/>
      <c r="AI36" s="187">
        <v>11030</v>
      </c>
      <c r="AJ36" s="187"/>
      <c r="AK36" s="187"/>
      <c r="AL36" s="187"/>
      <c r="AM36" s="24"/>
      <c r="AN36" s="187">
        <v>11027</v>
      </c>
      <c r="AO36" s="187"/>
      <c r="AP36" s="187"/>
      <c r="AQ36" s="187"/>
      <c r="AR36" s="24"/>
      <c r="AS36" s="187">
        <v>11025</v>
      </c>
      <c r="AT36" s="187"/>
      <c r="AU36" s="187"/>
      <c r="AV36" s="187"/>
      <c r="AW36" s="24"/>
      <c r="AX36" s="187">
        <v>11022</v>
      </c>
      <c r="AY36" s="187"/>
      <c r="AZ36" s="187"/>
      <c r="BA36" s="187"/>
      <c r="BP36" s="4"/>
      <c r="BQ36" s="2">
        <v>22</v>
      </c>
      <c r="BR36" s="2">
        <v>26</v>
      </c>
      <c r="BT36" s="2">
        <v>30</v>
      </c>
      <c r="BU36" s="2">
        <v>34</v>
      </c>
      <c r="BW36" s="2">
        <v>38</v>
      </c>
      <c r="BX36" s="2">
        <v>42</v>
      </c>
      <c r="BZ36" s="2">
        <v>46</v>
      </c>
      <c r="CA36" s="2">
        <v>50</v>
      </c>
      <c r="CB36" s="9"/>
    </row>
    <row r="37" spans="3:80">
      <c r="C37" s="193"/>
      <c r="D37" s="193"/>
      <c r="E37" s="193"/>
      <c r="G37" s="188" t="s">
        <v>51</v>
      </c>
      <c r="H37" s="188"/>
      <c r="I37" s="188"/>
      <c r="J37" s="188"/>
      <c r="K37" s="188"/>
      <c r="L37" s="188"/>
      <c r="Q37" s="188" t="s">
        <v>52</v>
      </c>
      <c r="R37" s="188"/>
      <c r="S37" s="188"/>
      <c r="T37" s="188"/>
      <c r="U37" s="188"/>
      <c r="V37" s="188"/>
      <c r="W37" s="188"/>
      <c r="X37" s="188"/>
      <c r="AC37" s="188" t="s">
        <v>53</v>
      </c>
      <c r="AD37" s="188"/>
      <c r="AE37" s="188"/>
      <c r="AF37" s="188"/>
      <c r="AG37" s="188"/>
      <c r="AH37" s="188"/>
      <c r="AI37" s="188"/>
      <c r="AJ37" s="188"/>
      <c r="AQ37" s="188" t="s">
        <v>54</v>
      </c>
      <c r="AR37" s="188"/>
      <c r="AS37" s="188"/>
      <c r="AT37" s="188"/>
      <c r="AU37" s="188"/>
      <c r="AV37" s="188"/>
      <c r="AW37" s="188"/>
      <c r="AX37" s="188"/>
      <c r="BE37" s="25"/>
      <c r="BG37" s="25" t="s">
        <v>55</v>
      </c>
      <c r="BP37" s="4"/>
      <c r="CB37" s="9"/>
    </row>
    <row r="38" spans="3:80">
      <c r="C38" s="193"/>
      <c r="D38" s="193"/>
      <c r="E38" s="193"/>
      <c r="G38" s="20">
        <v>1</v>
      </c>
      <c r="H38" s="20">
        <v>2</v>
      </c>
      <c r="I38" s="20">
        <v>3</v>
      </c>
      <c r="J38" s="20">
        <v>4</v>
      </c>
      <c r="K38" s="20">
        <v>5</v>
      </c>
      <c r="L38" s="20">
        <v>6</v>
      </c>
      <c r="Q38" s="20">
        <v>1</v>
      </c>
      <c r="R38" s="20">
        <v>2</v>
      </c>
      <c r="S38" s="20">
        <v>3</v>
      </c>
      <c r="T38" s="20">
        <v>4</v>
      </c>
      <c r="U38" s="58">
        <v>5</v>
      </c>
      <c r="V38" s="58">
        <v>6</v>
      </c>
      <c r="W38" s="58">
        <v>7</v>
      </c>
      <c r="X38" s="58">
        <v>8</v>
      </c>
      <c r="AC38" s="58">
        <v>1</v>
      </c>
      <c r="AD38" s="58">
        <v>2</v>
      </c>
      <c r="AE38" s="58">
        <v>3</v>
      </c>
      <c r="AF38" s="58">
        <v>4</v>
      </c>
      <c r="AG38" s="58">
        <v>5</v>
      </c>
      <c r="AH38" s="58">
        <v>6</v>
      </c>
      <c r="AI38" s="58">
        <v>7</v>
      </c>
      <c r="AJ38" s="58">
        <v>8</v>
      </c>
      <c r="AK38" s="21"/>
      <c r="AL38" s="21"/>
      <c r="AM38" s="21"/>
      <c r="AN38" s="21"/>
      <c r="AO38" s="21"/>
      <c r="AP38" s="21"/>
      <c r="AQ38" s="59">
        <v>1</v>
      </c>
      <c r="AR38" s="59">
        <v>2</v>
      </c>
      <c r="AS38" s="59">
        <v>3</v>
      </c>
      <c r="AT38" s="59">
        <v>4</v>
      </c>
      <c r="AU38" s="59">
        <v>5</v>
      </c>
      <c r="AV38" s="59">
        <v>6</v>
      </c>
      <c r="AW38" s="59">
        <v>7</v>
      </c>
      <c r="AX38" s="59">
        <v>8</v>
      </c>
      <c r="AY38" s="21"/>
      <c r="AZ38" s="21"/>
      <c r="BA38" s="21"/>
      <c r="BB38" s="21"/>
      <c r="BC38" s="21"/>
      <c r="BD38" s="59">
        <v>1</v>
      </c>
      <c r="BE38" s="59">
        <v>2</v>
      </c>
      <c r="BF38" s="59">
        <v>3</v>
      </c>
      <c r="BG38" s="59">
        <v>4</v>
      </c>
      <c r="BH38" s="59">
        <v>5</v>
      </c>
      <c r="BI38" s="59">
        <v>6</v>
      </c>
      <c r="BJ38" s="59">
        <v>7</v>
      </c>
      <c r="BK38" s="59">
        <v>8</v>
      </c>
      <c r="BP38" s="4"/>
      <c r="BR38" s="2">
        <v>51</v>
      </c>
      <c r="BS38" s="2">
        <v>52</v>
      </c>
      <c r="BT38" s="2">
        <v>53</v>
      </c>
      <c r="BU38" s="2">
        <v>54</v>
      </c>
      <c r="BV38" s="2">
        <v>55</v>
      </c>
      <c r="BW38" s="2">
        <v>56</v>
      </c>
      <c r="BX38" s="2">
        <v>57</v>
      </c>
      <c r="BY38" s="2">
        <v>58</v>
      </c>
      <c r="CB38" s="9"/>
    </row>
    <row r="39" spans="3:80">
      <c r="G39" s="187">
        <v>11047</v>
      </c>
      <c r="H39" s="187"/>
      <c r="I39" s="187"/>
      <c r="J39" s="187"/>
      <c r="K39" s="187"/>
      <c r="L39" s="187"/>
      <c r="Q39" s="187">
        <v>11039</v>
      </c>
      <c r="R39" s="187"/>
      <c r="S39" s="187"/>
      <c r="T39" s="187"/>
      <c r="U39" s="187"/>
      <c r="V39" s="187"/>
      <c r="W39" s="187"/>
      <c r="X39" s="187"/>
      <c r="AC39" s="187">
        <v>11031</v>
      </c>
      <c r="AD39" s="187"/>
      <c r="AE39" s="187"/>
      <c r="AF39" s="187"/>
      <c r="AG39" s="187"/>
      <c r="AH39" s="187"/>
      <c r="AI39" s="187"/>
      <c r="AJ39" s="187"/>
      <c r="AQ39" s="187">
        <v>11023</v>
      </c>
      <c r="AR39" s="187"/>
      <c r="AS39" s="187"/>
      <c r="AT39" s="187"/>
      <c r="AU39" s="187"/>
      <c r="AV39" s="187"/>
      <c r="AW39" s="187"/>
      <c r="AX39" s="187"/>
      <c r="BD39" s="187">
        <v>11021</v>
      </c>
      <c r="BE39" s="187"/>
      <c r="BF39" s="187"/>
      <c r="BG39" s="187"/>
      <c r="BH39" s="187"/>
      <c r="BI39" s="187"/>
      <c r="BJ39" s="187"/>
      <c r="BK39" s="187"/>
      <c r="BP39" s="12"/>
      <c r="BQ39" s="15"/>
      <c r="BR39" s="188" t="s">
        <v>57</v>
      </c>
      <c r="BS39" s="188"/>
      <c r="BT39" s="188"/>
      <c r="BU39" s="188"/>
      <c r="BV39" s="188"/>
      <c r="BW39" s="188"/>
      <c r="BX39" s="188"/>
      <c r="BY39" s="188"/>
      <c r="BZ39" s="15"/>
      <c r="CA39" s="15"/>
      <c r="CB39" s="17"/>
    </row>
    <row r="40" spans="3:80">
      <c r="BF40" s="24"/>
      <c r="BG40" s="24"/>
      <c r="BH40" s="24"/>
      <c r="BI40" s="24"/>
      <c r="BJ40" s="24"/>
      <c r="BK40" s="24"/>
    </row>
    <row r="41" spans="3:80">
      <c r="BF41" s="24"/>
      <c r="BG41" s="24"/>
      <c r="BH41" s="24"/>
      <c r="BI41" s="24"/>
      <c r="BJ41" s="24"/>
      <c r="BK41" s="24"/>
    </row>
    <row r="42" spans="3:80">
      <c r="BF42" s="24"/>
      <c r="BG42" s="24"/>
      <c r="BH42" s="24"/>
      <c r="BI42" s="24"/>
      <c r="BJ42" s="24"/>
      <c r="BK42" s="24"/>
    </row>
    <row r="43" spans="3:80" ht="16.5">
      <c r="C43" s="60" t="s">
        <v>58</v>
      </c>
      <c r="BF43" s="24"/>
      <c r="BG43" s="24"/>
      <c r="BH43" s="24"/>
      <c r="BI43" s="24"/>
      <c r="BJ43" s="24"/>
      <c r="BK43" s="24"/>
    </row>
    <row r="44" spans="3:80" ht="16.5">
      <c r="C44" s="61" t="s">
        <v>59</v>
      </c>
      <c r="D44" s="290" t="s">
        <v>59</v>
      </c>
      <c r="E44" s="290"/>
      <c r="F44" s="290"/>
      <c r="G44" s="290"/>
      <c r="BF44" s="24"/>
      <c r="BG44" s="24"/>
      <c r="BH44" s="24"/>
      <c r="BI44" s="24"/>
      <c r="BJ44" s="24"/>
      <c r="BK44" s="24"/>
    </row>
    <row r="45" spans="3:80" ht="16.5">
      <c r="C45" s="63" t="s">
        <v>60</v>
      </c>
      <c r="D45" s="291" t="s">
        <v>60</v>
      </c>
      <c r="E45" s="291"/>
      <c r="F45" s="291"/>
      <c r="G45" s="291"/>
      <c r="BF45" s="24"/>
      <c r="BG45" s="24"/>
      <c r="BH45" s="24"/>
      <c r="BI45" s="24"/>
      <c r="BJ45" s="24"/>
      <c r="BK45" s="24"/>
    </row>
    <row r="46" spans="3:80" ht="16.5">
      <c r="C46" s="62" t="s">
        <v>78</v>
      </c>
      <c r="D46" s="292" t="s">
        <v>78</v>
      </c>
      <c r="E46" s="292"/>
      <c r="F46" s="292"/>
      <c r="G46" s="292"/>
      <c r="BF46" s="24"/>
      <c r="BG46" s="24"/>
      <c r="BH46" s="24"/>
      <c r="BI46" s="24"/>
      <c r="BJ46" s="24"/>
      <c r="BK46" s="24"/>
    </row>
    <row r="47" spans="3:80">
      <c r="BF47" s="24"/>
      <c r="BG47" s="24"/>
      <c r="BH47" s="24"/>
      <c r="BI47" s="24"/>
      <c r="BJ47" s="24"/>
      <c r="BK47" s="24"/>
    </row>
    <row r="48" spans="3:80" ht="63" customHeight="1">
      <c r="C48" s="26" t="s">
        <v>69</v>
      </c>
      <c r="D48" s="27"/>
      <c r="E48" s="27"/>
      <c r="F48" s="28">
        <v>218</v>
      </c>
      <c r="G48" s="29"/>
      <c r="H48" s="284" t="s">
        <v>724</v>
      </c>
      <c r="I48" s="284"/>
      <c r="J48" s="284"/>
      <c r="K48" s="285" t="s">
        <v>725</v>
      </c>
      <c r="L48" s="286"/>
      <c r="M48" s="30" t="s">
        <v>726</v>
      </c>
      <c r="N48" s="31" t="s">
        <v>72</v>
      </c>
      <c r="P48" s="3" t="s">
        <v>727</v>
      </c>
      <c r="Q48" s="3"/>
      <c r="R48" s="3" t="s">
        <v>728</v>
      </c>
      <c r="S48" s="3"/>
      <c r="T48" s="3" t="s">
        <v>729</v>
      </c>
      <c r="U48" s="3"/>
      <c r="V48" s="1" t="s">
        <v>726</v>
      </c>
      <c r="BF48" s="24"/>
      <c r="BG48" s="24"/>
      <c r="BH48" s="24"/>
      <c r="BI48" s="24"/>
      <c r="BJ48" s="24"/>
      <c r="BK48" s="24"/>
    </row>
    <row r="49" spans="3:66">
      <c r="C49" s="32" t="s">
        <v>730</v>
      </c>
      <c r="D49" s="33"/>
      <c r="F49" s="34">
        <f>SUM(F50:F59)</f>
        <v>432</v>
      </c>
      <c r="G49" s="161"/>
      <c r="H49" s="161"/>
      <c r="I49" s="161"/>
      <c r="J49" s="162"/>
      <c r="K49" s="160"/>
      <c r="L49" s="161"/>
      <c r="M49" s="37"/>
      <c r="N49" s="35"/>
      <c r="P49" s="1">
        <v>6</v>
      </c>
      <c r="R49" s="1">
        <v>8</v>
      </c>
      <c r="T49" s="1">
        <v>8</v>
      </c>
      <c r="V49" s="1">
        <f>P64+R57+T59</f>
        <v>226</v>
      </c>
      <c r="Y49" s="1">
        <f>V49+15</f>
        <v>241</v>
      </c>
    </row>
    <row r="50" spans="3:66">
      <c r="C50" s="38" t="s">
        <v>96</v>
      </c>
      <c r="D50" s="33"/>
      <c r="F50" s="35">
        <v>22</v>
      </c>
      <c r="G50" s="161"/>
      <c r="H50" s="161"/>
      <c r="I50" s="161"/>
      <c r="J50" s="162"/>
      <c r="K50" s="160"/>
      <c r="L50" s="161"/>
      <c r="M50" s="37"/>
      <c r="N50" s="35"/>
      <c r="P50" s="1">
        <v>6</v>
      </c>
      <c r="R50" s="1">
        <v>8</v>
      </c>
      <c r="T50" s="1">
        <v>8</v>
      </c>
    </row>
    <row r="51" spans="3:66">
      <c r="C51" s="38" t="s">
        <v>731</v>
      </c>
      <c r="D51" s="33"/>
      <c r="F51" s="35">
        <v>22</v>
      </c>
      <c r="G51" s="161"/>
      <c r="H51" s="161"/>
      <c r="I51" s="161"/>
      <c r="J51" s="162"/>
      <c r="K51" s="160"/>
      <c r="L51" s="161"/>
      <c r="M51" s="37"/>
      <c r="N51" s="35"/>
      <c r="P51" s="1">
        <v>6</v>
      </c>
      <c r="R51" s="1">
        <v>8</v>
      </c>
      <c r="T51" s="1">
        <v>8</v>
      </c>
      <c r="BN51" s="1">
        <v>22</v>
      </c>
    </row>
    <row r="52" spans="3:66">
      <c r="C52" s="38" t="s">
        <v>76</v>
      </c>
      <c r="D52" s="33"/>
      <c r="F52" s="35">
        <v>23</v>
      </c>
      <c r="G52" s="161"/>
      <c r="H52" s="161"/>
      <c r="I52" s="161"/>
      <c r="J52" s="162"/>
      <c r="K52" s="160"/>
      <c r="L52" s="161"/>
      <c r="M52" s="37"/>
      <c r="N52" s="35"/>
      <c r="P52" s="1">
        <v>9</v>
      </c>
      <c r="R52" s="1">
        <v>8</v>
      </c>
      <c r="T52" s="1">
        <v>8</v>
      </c>
      <c r="BN52" s="1">
        <v>22</v>
      </c>
    </row>
    <row r="53" spans="3:66">
      <c r="C53" s="38" t="s">
        <v>732</v>
      </c>
      <c r="D53" s="33"/>
      <c r="F53" s="35">
        <v>58</v>
      </c>
      <c r="G53" s="161"/>
      <c r="H53" s="161"/>
      <c r="I53" s="161"/>
      <c r="J53" s="162"/>
      <c r="K53" s="160"/>
      <c r="L53" s="161"/>
      <c r="M53" s="37"/>
      <c r="N53" s="35"/>
      <c r="P53" s="1">
        <v>9</v>
      </c>
      <c r="R53" s="1">
        <v>8</v>
      </c>
      <c r="T53" s="1">
        <v>8</v>
      </c>
      <c r="BN53" s="1">
        <v>23</v>
      </c>
    </row>
    <row r="54" spans="3:66">
      <c r="C54" s="39" t="s">
        <v>59</v>
      </c>
      <c r="D54" s="40"/>
      <c r="E54" s="40"/>
      <c r="F54" s="41">
        <v>86</v>
      </c>
      <c r="G54" s="161">
        <v>76</v>
      </c>
      <c r="H54" s="161"/>
      <c r="I54" s="161"/>
      <c r="J54" s="162"/>
      <c r="K54" s="160">
        <v>4</v>
      </c>
      <c r="L54" s="161"/>
      <c r="M54" s="37">
        <f>G54+K54</f>
        <v>80</v>
      </c>
      <c r="N54" s="35">
        <f>F54-M54</f>
        <v>6</v>
      </c>
      <c r="P54" s="1">
        <v>6</v>
      </c>
      <c r="R54" s="1">
        <v>8</v>
      </c>
      <c r="T54" s="1">
        <v>8</v>
      </c>
      <c r="BN54" s="1">
        <v>50</v>
      </c>
    </row>
    <row r="55" spans="3:66">
      <c r="C55" s="42" t="s">
        <v>78</v>
      </c>
      <c r="D55" s="43"/>
      <c r="E55" s="43"/>
      <c r="F55" s="44">
        <v>64</v>
      </c>
      <c r="G55" s="161">
        <v>75</v>
      </c>
      <c r="H55" s="161"/>
      <c r="I55" s="161"/>
      <c r="J55" s="162"/>
      <c r="K55" s="160">
        <v>3</v>
      </c>
      <c r="L55" s="161"/>
      <c r="M55" s="37">
        <f>G55+K55</f>
        <v>78</v>
      </c>
      <c r="N55" s="35">
        <f>F55-M55</f>
        <v>-14</v>
      </c>
      <c r="P55" s="1">
        <v>8</v>
      </c>
      <c r="R55" s="1">
        <v>8</v>
      </c>
      <c r="T55" s="1">
        <v>8</v>
      </c>
      <c r="BM55" s="1" t="s">
        <v>733</v>
      </c>
      <c r="BN55" s="33">
        <f>SUM(BN51:BN54)</f>
        <v>117</v>
      </c>
    </row>
    <row r="56" spans="3:66">
      <c r="C56" s="45" t="s">
        <v>60</v>
      </c>
      <c r="D56" s="46"/>
      <c r="E56" s="46"/>
      <c r="F56" s="47">
        <v>64</v>
      </c>
      <c r="G56" s="161">
        <v>45</v>
      </c>
      <c r="H56" s="161"/>
      <c r="I56" s="161"/>
      <c r="J56" s="162"/>
      <c r="K56" s="160"/>
      <c r="L56" s="161"/>
      <c r="M56" s="37">
        <f>G56+K56</f>
        <v>45</v>
      </c>
      <c r="N56" s="35">
        <f>F56-M56</f>
        <v>19</v>
      </c>
      <c r="P56" s="1">
        <v>8</v>
      </c>
      <c r="R56" s="1">
        <v>8</v>
      </c>
      <c r="T56" s="1">
        <v>8</v>
      </c>
    </row>
    <row r="57" spans="3:66">
      <c r="C57" s="48" t="s">
        <v>63</v>
      </c>
      <c r="D57" s="21"/>
      <c r="E57" s="21"/>
      <c r="F57" s="49">
        <v>2</v>
      </c>
      <c r="G57" s="161">
        <v>2</v>
      </c>
      <c r="H57" s="161"/>
      <c r="I57" s="161"/>
      <c r="J57" s="162"/>
      <c r="K57" s="160"/>
      <c r="L57" s="161"/>
      <c r="M57" s="37">
        <f t="shared" ref="M57" si="0">G57+K57</f>
        <v>2</v>
      </c>
      <c r="N57" s="35">
        <f>F57-M57</f>
        <v>0</v>
      </c>
      <c r="P57" s="1">
        <v>8</v>
      </c>
      <c r="R57" s="33">
        <f>SUM(R49:R56)</f>
        <v>64</v>
      </c>
      <c r="T57" s="1">
        <v>8</v>
      </c>
      <c r="AR57" s="1">
        <f>P64+R57+T59</f>
        <v>226</v>
      </c>
    </row>
    <row r="58" spans="3:66">
      <c r="C58" s="48" t="s">
        <v>79</v>
      </c>
      <c r="D58" s="21"/>
      <c r="E58" s="21"/>
      <c r="F58" s="49">
        <v>76</v>
      </c>
      <c r="G58" s="161"/>
      <c r="H58" s="161"/>
      <c r="I58" s="161"/>
      <c r="J58" s="162"/>
      <c r="K58" s="36"/>
      <c r="M58" s="37"/>
      <c r="N58" s="35"/>
      <c r="P58" s="1">
        <v>8</v>
      </c>
      <c r="T58" s="1">
        <v>4</v>
      </c>
      <c r="AR58" s="1">
        <v>15</v>
      </c>
    </row>
    <row r="59" spans="3:66">
      <c r="C59" s="50" t="s">
        <v>734</v>
      </c>
      <c r="D59" s="51"/>
      <c r="E59" s="51"/>
      <c r="F59" s="52">
        <v>15</v>
      </c>
      <c r="G59" s="281">
        <v>15</v>
      </c>
      <c r="H59" s="281"/>
      <c r="I59" s="281"/>
      <c r="J59" s="282"/>
      <c r="K59" s="283"/>
      <c r="L59" s="281"/>
      <c r="M59" s="54">
        <f>G59+K59</f>
        <v>15</v>
      </c>
      <c r="N59" s="53">
        <f>F59-M59</f>
        <v>0</v>
      </c>
      <c r="P59" s="1">
        <v>8</v>
      </c>
      <c r="T59" s="33">
        <f>SUM(T49:T58)</f>
        <v>76</v>
      </c>
      <c r="AR59" s="1">
        <f>SUM(AR57:AR58)</f>
        <v>241</v>
      </c>
    </row>
    <row r="60" spans="3:66">
      <c r="P60" s="1">
        <v>4</v>
      </c>
    </row>
    <row r="62" spans="3:66">
      <c r="AR62" s="1">
        <f>AR59+BN55</f>
        <v>358</v>
      </c>
    </row>
    <row r="63" spans="3:66">
      <c r="C63" s="55" t="s">
        <v>82</v>
      </c>
      <c r="F63" s="1">
        <f>SUM(G54:J59)</f>
        <v>213</v>
      </c>
    </row>
    <row r="64" spans="3:66">
      <c r="C64" s="56" t="s">
        <v>83</v>
      </c>
      <c r="D64" s="57"/>
      <c r="E64" s="57"/>
      <c r="F64" s="57">
        <f>F48-F63</f>
        <v>5</v>
      </c>
      <c r="P64" s="33">
        <f>SUM(P49:P63)</f>
        <v>86</v>
      </c>
    </row>
    <row r="66" spans="3:52">
      <c r="C66" s="55" t="s">
        <v>85</v>
      </c>
      <c r="F66" s="1">
        <f>SUM(F54:F59)</f>
        <v>307</v>
      </c>
    </row>
    <row r="67" spans="3:52">
      <c r="C67" s="55" t="s">
        <v>82</v>
      </c>
      <c r="F67" s="1">
        <f>SUM(G54:J59)</f>
        <v>213</v>
      </c>
    </row>
    <row r="68" spans="3:52">
      <c r="C68" s="55" t="s">
        <v>86</v>
      </c>
      <c r="F68" s="1">
        <v>189</v>
      </c>
      <c r="W68" s="1">
        <f>432-F50-F51-F52-F53</f>
        <v>307</v>
      </c>
      <c r="AZ68" s="1" t="s">
        <v>84</v>
      </c>
    </row>
    <row r="69" spans="3:52">
      <c r="F69" s="1">
        <f>F68-F67</f>
        <v>-24</v>
      </c>
    </row>
  </sheetData>
  <mergeCells count="155">
    <mergeCell ref="D44:G44"/>
    <mergeCell ref="D45:G45"/>
    <mergeCell ref="D46:G46"/>
    <mergeCell ref="BD39:BK39"/>
    <mergeCell ref="BR39:BY39"/>
    <mergeCell ref="AX36:BA36"/>
    <mergeCell ref="G37:L37"/>
    <mergeCell ref="Q37:X37"/>
    <mergeCell ref="AC37:AJ37"/>
    <mergeCell ref="AQ37:AX37"/>
    <mergeCell ref="G39:L39"/>
    <mergeCell ref="Q39:X39"/>
    <mergeCell ref="AC39:AJ39"/>
    <mergeCell ref="AQ39:AX39"/>
    <mergeCell ref="S36:V36"/>
    <mergeCell ref="X36:AA36"/>
    <mergeCell ref="AD36:AG36"/>
    <mergeCell ref="AI36:AL36"/>
    <mergeCell ref="AN36:AQ36"/>
    <mergeCell ref="AS36:AV36"/>
    <mergeCell ref="K34:L34"/>
    <mergeCell ref="C35:E38"/>
    <mergeCell ref="G35:H35"/>
    <mergeCell ref="I35:J35"/>
    <mergeCell ref="K35:L35"/>
    <mergeCell ref="N36:Q36"/>
    <mergeCell ref="BF32:BI35"/>
    <mergeCell ref="BJ32:BM35"/>
    <mergeCell ref="BQ32:CA32"/>
    <mergeCell ref="C33:E33"/>
    <mergeCell ref="G33:H33"/>
    <mergeCell ref="I33:J33"/>
    <mergeCell ref="K33:L33"/>
    <mergeCell ref="X33:AD33"/>
    <mergeCell ref="G34:H34"/>
    <mergeCell ref="I34:J34"/>
    <mergeCell ref="AF32:AG32"/>
    <mergeCell ref="AJ32:AK32"/>
    <mergeCell ref="AN32:AO32"/>
    <mergeCell ref="AR32:AS32"/>
    <mergeCell ref="AV32:AW32"/>
    <mergeCell ref="AZ32:BA32"/>
    <mergeCell ref="I32:J32"/>
    <mergeCell ref="N32:O32"/>
    <mergeCell ref="Q32:R32"/>
    <mergeCell ref="T32:U32"/>
    <mergeCell ref="W32:X32"/>
    <mergeCell ref="AC32:AD32"/>
    <mergeCell ref="BJ29:BM31"/>
    <mergeCell ref="C30:E30"/>
    <mergeCell ref="G30:H30"/>
    <mergeCell ref="I30:J30"/>
    <mergeCell ref="K30:L30"/>
    <mergeCell ref="I20:J20"/>
    <mergeCell ref="N20:N25"/>
    <mergeCell ref="O20:T25"/>
    <mergeCell ref="BU30:BV30"/>
    <mergeCell ref="G31:L31"/>
    <mergeCell ref="I27:J27"/>
    <mergeCell ref="BH27:BJ27"/>
    <mergeCell ref="G28:H28"/>
    <mergeCell ref="I28:J28"/>
    <mergeCell ref="K28:L28"/>
    <mergeCell ref="G29:H29"/>
    <mergeCell ref="I29:J29"/>
    <mergeCell ref="K29:L29"/>
    <mergeCell ref="Y29:AB29"/>
    <mergeCell ref="BF29:BI31"/>
    <mergeCell ref="C21:E25"/>
    <mergeCell ref="H21:I21"/>
    <mergeCell ref="G24:H24"/>
    <mergeCell ref="I24:J24"/>
    <mergeCell ref="H25:I25"/>
    <mergeCell ref="BF15:BM18"/>
    <mergeCell ref="BP15:CB20"/>
    <mergeCell ref="C16:E20"/>
    <mergeCell ref="G16:H16"/>
    <mergeCell ref="I16:J16"/>
    <mergeCell ref="G17:J17"/>
    <mergeCell ref="G18:H18"/>
    <mergeCell ref="I18:J18"/>
    <mergeCell ref="L18:M21"/>
    <mergeCell ref="G19:H19"/>
    <mergeCell ref="AP14:AS25"/>
    <mergeCell ref="AT14:AW25"/>
    <mergeCell ref="AX14:BA25"/>
    <mergeCell ref="BB14:BC23"/>
    <mergeCell ref="G15:H15"/>
    <mergeCell ref="I15:J15"/>
    <mergeCell ref="I19:J19"/>
    <mergeCell ref="C4:E15"/>
    <mergeCell ref="BP21:BR25"/>
    <mergeCell ref="BP4:CB4"/>
    <mergeCell ref="K8:M11"/>
    <mergeCell ref="N8:AB11"/>
    <mergeCell ref="AS8:AV8"/>
    <mergeCell ref="BH8:BJ8"/>
    <mergeCell ref="BU8:BW8"/>
    <mergeCell ref="AD10:AN11"/>
    <mergeCell ref="AO10:AW11"/>
    <mergeCell ref="AX10:AZ11"/>
    <mergeCell ref="K4:M7"/>
    <mergeCell ref="N4:AB7"/>
    <mergeCell ref="AD4:AK7"/>
    <mergeCell ref="AM4:BB4"/>
    <mergeCell ref="BA10:BE11"/>
    <mergeCell ref="BF10:BJ11"/>
    <mergeCell ref="BK10:BM11"/>
    <mergeCell ref="BP10:CB14"/>
    <mergeCell ref="AG14:AK25"/>
    <mergeCell ref="AL14:AO25"/>
    <mergeCell ref="BS21:BW25"/>
    <mergeCell ref="BX21:CB25"/>
    <mergeCell ref="BF23:BI24"/>
    <mergeCell ref="BJ23:BM24"/>
    <mergeCell ref="L14:M17"/>
    <mergeCell ref="H48:J48"/>
    <mergeCell ref="K48:L48"/>
    <mergeCell ref="G49:J49"/>
    <mergeCell ref="G50:J50"/>
    <mergeCell ref="G51:J51"/>
    <mergeCell ref="G52:J52"/>
    <mergeCell ref="G53:J53"/>
    <mergeCell ref="G54:J54"/>
    <mergeCell ref="BC4:BO4"/>
    <mergeCell ref="H13:I13"/>
    <mergeCell ref="G14:H14"/>
    <mergeCell ref="I14:J14"/>
    <mergeCell ref="N14:N19"/>
    <mergeCell ref="O14:T19"/>
    <mergeCell ref="V14:X25"/>
    <mergeCell ref="G4:J11"/>
    <mergeCell ref="Y14:AC25"/>
    <mergeCell ref="G22:H22"/>
    <mergeCell ref="I22:J22"/>
    <mergeCell ref="L22:M25"/>
    <mergeCell ref="G23:H23"/>
    <mergeCell ref="I23:J23"/>
    <mergeCell ref="BF19:BM22"/>
    <mergeCell ref="G20:H20"/>
    <mergeCell ref="G55:J55"/>
    <mergeCell ref="G56:J56"/>
    <mergeCell ref="G59:J59"/>
    <mergeCell ref="K49:L49"/>
    <mergeCell ref="K50:L50"/>
    <mergeCell ref="K51:L51"/>
    <mergeCell ref="K52:L52"/>
    <mergeCell ref="K53:L53"/>
    <mergeCell ref="K54:L54"/>
    <mergeCell ref="K55:L55"/>
    <mergeCell ref="K56:L56"/>
    <mergeCell ref="K59:L59"/>
    <mergeCell ref="G57:J57"/>
    <mergeCell ref="K57:L57"/>
    <mergeCell ref="G58:J58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DAA0611707354D82FA92269BE61BFE" ma:contentTypeVersion="14" ma:contentTypeDescription="Create a new document." ma:contentTypeScope="" ma:versionID="2585aba5144a7ee0a577d74780900f84">
  <xsd:schema xmlns:xsd="http://www.w3.org/2001/XMLSchema" xmlns:xs="http://www.w3.org/2001/XMLSchema" xmlns:p="http://schemas.microsoft.com/office/2006/metadata/properties" xmlns:ns2="d27de348-b518-49c6-8556-c9f52b9c2dc6" xmlns:ns3="0be4a812-83e8-4203-ac8f-747cf8e6a360" targetNamespace="http://schemas.microsoft.com/office/2006/metadata/properties" ma:root="true" ma:fieldsID="704828e8d4ece94cc0afd676b1abbd6d" ns2:_="" ns3:_="">
    <xsd:import namespace="d27de348-b518-49c6-8556-c9f52b9c2dc6"/>
    <xsd:import namespace="0be4a812-83e8-4203-ac8f-747cf8e6a3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de348-b518-49c6-8556-c9f52b9c2d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7bde53e-b0a2-4e98-8550-8a152603f3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a812-83e8-4203-ac8f-747cf8e6a36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1ccc276-8227-443c-a0bc-2e89af29f2c2}" ma:internalName="TaxCatchAll" ma:showField="CatchAllData" ma:web="0be4a812-83e8-4203-ac8f-747cf8e6a3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27de348-b518-49c6-8556-c9f52b9c2dc6">
      <Terms xmlns="http://schemas.microsoft.com/office/infopath/2007/PartnerControls"/>
    </lcf76f155ced4ddcb4097134ff3c332f>
    <TaxCatchAll xmlns="0be4a812-83e8-4203-ac8f-747cf8e6a360" xsi:nil="true"/>
  </documentManagement>
</p:properties>
</file>

<file path=customXml/itemProps1.xml><?xml version="1.0" encoding="utf-8"?>
<ds:datastoreItem xmlns:ds="http://schemas.openxmlformats.org/officeDocument/2006/customXml" ds:itemID="{E3C08BC4-9280-4C3D-96DF-874EA5C9980E}"/>
</file>

<file path=customXml/itemProps2.xml><?xml version="1.0" encoding="utf-8"?>
<ds:datastoreItem xmlns:ds="http://schemas.openxmlformats.org/officeDocument/2006/customXml" ds:itemID="{35FB5868-B290-4B56-82CD-84E10C9EC620}"/>
</file>

<file path=customXml/itemProps3.xml><?xml version="1.0" encoding="utf-8"?>
<ds:datastoreItem xmlns:ds="http://schemas.openxmlformats.org/officeDocument/2006/customXml" ds:itemID="{79B14DEC-7CF9-40C6-9C0F-40DEA33F30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PricewaterhouseCoopers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Jessa Villanueva (AC Manila)</dc:creator>
  <cp:keywords/>
  <dc:description/>
  <cp:lastModifiedBy/>
  <cp:revision/>
  <dcterms:created xsi:type="dcterms:W3CDTF">2024-10-03T08:27:53Z</dcterms:created>
  <dcterms:modified xsi:type="dcterms:W3CDTF">2026-07-21T08:14:30Z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0x01010090DAA0611707354D82FA92269BE61BFE</vt:lpwstr>
  </property>
  <property fmtid="{D5CDD505-2E9C-101B-9397-08002B2CF9AE}" pid="3" name="MediaServiceImageTags">
    <vt:lpwstr/>
  </property>
</Properties>
</file>